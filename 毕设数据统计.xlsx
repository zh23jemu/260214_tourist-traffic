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Coding\260214_tourist-traffic\"/>
    </mc:Choice>
  </mc:AlternateContent>
  <xr:revisionPtr revIDLastSave="0" documentId="13_ncr:1_{6A6E4453-3E91-437E-9463-E8333A6236D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<sst xmlns="http://schemas.openxmlformats.org/spreadsheetml/2006/main" count="552" uniqueCount="83">
  <si>
    <t>日期</t>
  </si>
  <si>
    <t>省份</t>
  </si>
  <si>
    <t>区县</t>
  </si>
  <si>
    <t>当日预测人数</t>
  </si>
  <si>
    <t>当日天气</t>
  </si>
  <si>
    <t>日期属性</t>
  </si>
  <si>
    <t>日期属性编码</t>
  </si>
  <si>
    <t>预测生成时间</t>
  </si>
  <si>
    <t>预测偏差值</t>
  </si>
  <si>
    <t>贵州省</t>
  </si>
  <si>
    <t>荔波县</t>
  </si>
  <si>
    <t>晴，30℃</t>
  </si>
  <si>
    <t>小雨，31℃</t>
  </si>
  <si>
    <t>多云，32℃</t>
  </si>
  <si>
    <t>多云，30℃</t>
  </si>
  <si>
    <t>小雨，30℃</t>
  </si>
  <si>
    <t>小雨，32℃</t>
  </si>
  <si>
    <t>阴，31℃</t>
  </si>
  <si>
    <t>多云，29℃</t>
  </si>
  <si>
    <t>中雨，24℃</t>
  </si>
  <si>
    <t>小雨，26℃</t>
  </si>
  <si>
    <t>多云，31℃</t>
  </si>
  <si>
    <t>阵雨，32℃</t>
  </si>
  <si>
    <t>阵雨，27℃</t>
  </si>
  <si>
    <t>阵雨，25℃</t>
  </si>
  <si>
    <t>阵雨，31℃</t>
  </si>
  <si>
    <t>阵雨，29℃</t>
  </si>
  <si>
    <t>阵雨，30℃</t>
  </si>
  <si>
    <t>小雨，27℃</t>
  </si>
  <si>
    <t>小雨，28℃</t>
  </si>
  <si>
    <t>阴，25℃</t>
  </si>
  <si>
    <t>阴，21℃</t>
  </si>
  <si>
    <t>多云，18℃</t>
  </si>
  <si>
    <t>多云，20℃</t>
  </si>
  <si>
    <t>多云，22℃</t>
  </si>
  <si>
    <t>多云，21℃</t>
  </si>
  <si>
    <t>多云，23℃</t>
  </si>
  <si>
    <t>晴，23℃</t>
  </si>
  <si>
    <t>多云，25℃</t>
  </si>
  <si>
    <t>阴，20℃</t>
  </si>
  <si>
    <t>小雨，17℃</t>
  </si>
  <si>
    <t>小雨，18℃</t>
  </si>
  <si>
    <t>小雨，15℃</t>
  </si>
  <si>
    <t>小雨，16℃</t>
  </si>
  <si>
    <t>小雨，20℃</t>
  </si>
  <si>
    <t>阴，17℃</t>
  </si>
  <si>
    <t>阴，16℃</t>
  </si>
  <si>
    <t>晴，22℃</t>
  </si>
  <si>
    <t>晴，24℃</t>
  </si>
  <si>
    <t>多云，14℃</t>
  </si>
  <si>
    <t>多云，15℃</t>
  </si>
  <si>
    <t>多云，17℃</t>
  </si>
  <si>
    <t>晴，19℃</t>
  </si>
  <si>
    <t>晴，20℃</t>
  </si>
  <si>
    <t>阴，19℃</t>
  </si>
  <si>
    <t>小雨，12℃</t>
  </si>
  <si>
    <t>阴，11℃</t>
  </si>
  <si>
    <t>阴，15℃</t>
  </si>
  <si>
    <t>晴，15℃</t>
  </si>
  <si>
    <t>晴，18℃</t>
  </si>
  <si>
    <t>多云，19℃</t>
  </si>
  <si>
    <t>阴，14℃</t>
  </si>
  <si>
    <t>小雨，11℃</t>
  </si>
  <si>
    <t>多云，13℃</t>
  </si>
  <si>
    <t>阴，8℃</t>
  </si>
  <si>
    <t>阴，10℃</t>
  </si>
  <si>
    <t>小雨，10℃</t>
  </si>
  <si>
    <t>多云，16℃</t>
  </si>
  <si>
    <t>晴，17℃</t>
  </si>
  <si>
    <t>晴，21℃</t>
  </si>
  <si>
    <t>冻雨，3℃</t>
  </si>
  <si>
    <t>阴，3℃</t>
  </si>
  <si>
    <t>多云，12℃</t>
  </si>
  <si>
    <t>阴，13℃</t>
  </si>
  <si>
    <t>阴，12℃</t>
  </si>
  <si>
    <t>小雨，14℃</t>
  </si>
  <si>
    <t>小雨，13℃</t>
  </si>
  <si>
    <t>多云，26℃</t>
  </si>
  <si>
    <t>阵雨，18℃</t>
  </si>
  <si>
    <t>雷阵雨，20℃</t>
  </si>
  <si>
    <t>阵雨，20℃</t>
  </si>
  <si>
    <t>雷阵雨，24℃</t>
  </si>
  <si>
    <t>当日实际人数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</si>
</sst>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3"/>
  <sheetViews>
    <sheetView tabSelected="1" workbookViewId="0">
      <selection activeCell="D2" sqref="D2"/>
    </sheetView>
  </sheetViews>
  <sheetFormatPr defaultColWidth="9" defaultRowHeight="13.5" x14ac:dyDescent="0.15"/>
  <cols>
    <col min="1" max="1" width="11.75"/>
    <col min="5" max="5" width="13.625" customWidth="1"/>
    <col min="6" max="6" width="11.125" customWidth="1"/>
    <col min="7" max="7" width="11.25" customWidth="1"/>
    <col min="8" max="8" width="16.25" customWidth="1"/>
    <col min="9" max="10" width="13.375" customWidth="1"/>
    <col min="11" max="11" width="10.625" customWidth="1"/>
  </cols>
  <sheetData>
    <row r="1" spans="1:11" x14ac:dyDescent="0.15">
      <c r="A1" t="s">
        <v>0</v>
      </c>
      <c r="B1" t="s">
        <v>1</v>
      </c>
      <c r="C1" t="s">
        <v>2</v>
      </c>
      <c r="D1" s="2" t="s">
        <v>82</v>
      </c>
      <c r="E1" t="s">
        <v>3</v>
      </c>
      <c r="F1" t="s">
        <v>4</v>
      </c>
      <c r="G1" t="s">
        <v>5</v>
      </c>
      <c r="H1" t="s">
        <v>6</v>
      </c>
      <c r="J1" t="s">
        <v>7</v>
      </c>
      <c r="K1" t="s">
        <v>8</v>
      </c>
    </row>
    <row r="2" spans="1:11" x14ac:dyDescent="0.15">
      <c r="A2" s="1">
        <v>45911</v>
      </c>
      <c r="B2" t="s">
        <v>9</v>
      </c>
      <c r="C2" t="s">
        <v>10</v>
      </c>
      <c r="D2">
        <v>3839</v>
      </c>
      <c r="E2">
        <v>1292</v>
      </c>
      <c r="F2" t="s">
        <v>11</v>
      </c>
      <c r="G2" t="str">
        <f>TEXT(A2,"aaaa")</f>
        <v>星期四</v>
      </c>
      <c r="H2" t="str">
        <f>IF(OR(WEEKDAY(A2)=1,WEEKDAY(A2)=7),"周末","工作日")</f>
        <v>工作日</v>
      </c>
    </row>
    <row r="3" spans="1:11" x14ac:dyDescent="0.15">
      <c r="A3" s="1">
        <v>45912</v>
      </c>
      <c r="B3" t="s">
        <v>9</v>
      </c>
      <c r="C3" t="s">
        <v>10</v>
      </c>
      <c r="D3">
        <v>7898</v>
      </c>
      <c r="E3">
        <v>6964</v>
      </c>
      <c r="F3" t="s">
        <v>12</v>
      </c>
      <c r="G3" t="str">
        <f t="shared" ref="G3:G12" si="0">TEXT(A3,"aaaa")</f>
        <v>星期五</v>
      </c>
      <c r="H3" t="str">
        <f t="shared" ref="H3:H9" si="1">IF(OR(WEEKDAY(A3)=1,WEEKDAY(A3)=7),"周末","工作日")</f>
        <v>工作日</v>
      </c>
    </row>
    <row r="4" spans="1:11" x14ac:dyDescent="0.15">
      <c r="A4" s="1">
        <v>45913</v>
      </c>
      <c r="B4" t="s">
        <v>9</v>
      </c>
      <c r="C4" t="s">
        <v>10</v>
      </c>
      <c r="D4">
        <v>7861</v>
      </c>
      <c r="E4">
        <v>7517</v>
      </c>
      <c r="F4" t="s">
        <v>13</v>
      </c>
      <c r="G4" t="str">
        <f t="shared" si="0"/>
        <v>星期六</v>
      </c>
      <c r="H4" t="str">
        <f t="shared" si="1"/>
        <v>周末</v>
      </c>
    </row>
    <row r="5" spans="1:11" x14ac:dyDescent="0.15">
      <c r="A5" s="1">
        <v>45914</v>
      </c>
      <c r="B5" t="s">
        <v>9</v>
      </c>
      <c r="C5" t="s">
        <v>10</v>
      </c>
      <c r="D5">
        <v>6026</v>
      </c>
      <c r="E5">
        <v>7670</v>
      </c>
      <c r="F5" t="s">
        <v>12</v>
      </c>
      <c r="G5" t="str">
        <f t="shared" si="0"/>
        <v>星期日</v>
      </c>
      <c r="H5" t="str">
        <f t="shared" si="1"/>
        <v>周末</v>
      </c>
    </row>
    <row r="6" spans="1:11" x14ac:dyDescent="0.15">
      <c r="A6" s="1">
        <v>45915</v>
      </c>
      <c r="B6" t="s">
        <v>9</v>
      </c>
      <c r="C6" t="s">
        <v>10</v>
      </c>
      <c r="D6">
        <v>7849</v>
      </c>
      <c r="E6">
        <v>6797</v>
      </c>
      <c r="F6" t="s">
        <v>11</v>
      </c>
      <c r="G6" t="str">
        <f t="shared" si="0"/>
        <v>星期一</v>
      </c>
      <c r="H6" t="str">
        <f t="shared" si="1"/>
        <v>工作日</v>
      </c>
    </row>
    <row r="7" spans="1:11" x14ac:dyDescent="0.15">
      <c r="A7" s="1">
        <v>45916</v>
      </c>
      <c r="B7" t="s">
        <v>9</v>
      </c>
      <c r="C7" t="s">
        <v>10</v>
      </c>
      <c r="D7">
        <v>7959</v>
      </c>
      <c r="E7">
        <v>8269</v>
      </c>
      <c r="F7" t="s">
        <v>14</v>
      </c>
      <c r="G7" t="str">
        <f t="shared" si="0"/>
        <v>星期二</v>
      </c>
      <c r="H7" t="str">
        <f t="shared" si="1"/>
        <v>工作日</v>
      </c>
    </row>
    <row r="8" spans="1:11" x14ac:dyDescent="0.15">
      <c r="A8" s="1">
        <v>45917</v>
      </c>
      <c r="B8" t="s">
        <v>9</v>
      </c>
      <c r="C8" t="s">
        <v>10</v>
      </c>
      <c r="D8">
        <v>8845</v>
      </c>
      <c r="E8">
        <v>9039</v>
      </c>
      <c r="F8" t="s">
        <v>15</v>
      </c>
      <c r="G8" t="str">
        <f t="shared" si="0"/>
        <v>星期三</v>
      </c>
      <c r="H8" t="str">
        <f t="shared" si="1"/>
        <v>工作日</v>
      </c>
    </row>
    <row r="9" spans="1:11" x14ac:dyDescent="0.15">
      <c r="A9" s="1">
        <v>45918</v>
      </c>
      <c r="B9" t="s">
        <v>9</v>
      </c>
      <c r="C9" t="s">
        <v>10</v>
      </c>
      <c r="D9">
        <v>8763</v>
      </c>
      <c r="E9">
        <v>9430</v>
      </c>
      <c r="F9" t="s">
        <v>16</v>
      </c>
      <c r="G9" t="str">
        <f t="shared" si="0"/>
        <v>星期四</v>
      </c>
      <c r="H9" t="str">
        <f t="shared" si="1"/>
        <v>工作日</v>
      </c>
    </row>
    <row r="10" spans="1:11" x14ac:dyDescent="0.15">
      <c r="A10" s="1">
        <v>45919</v>
      </c>
      <c r="B10" t="s">
        <v>9</v>
      </c>
      <c r="C10" t="s">
        <v>10</v>
      </c>
      <c r="D10">
        <v>8024</v>
      </c>
      <c r="E10">
        <v>8782</v>
      </c>
      <c r="F10" t="s">
        <v>13</v>
      </c>
      <c r="G10" t="str">
        <f t="shared" si="0"/>
        <v>星期五</v>
      </c>
      <c r="H10" t="str">
        <f t="shared" ref="H10:H30" si="2">IF(OR(WEEKDAY(A10)=1,WEEKDAY(A10)=7),"周末","工作日")</f>
        <v>工作日</v>
      </c>
    </row>
    <row r="11" spans="1:11" x14ac:dyDescent="0.15">
      <c r="A11" s="1">
        <v>45920</v>
      </c>
      <c r="B11" t="s">
        <v>9</v>
      </c>
      <c r="C11" t="s">
        <v>10</v>
      </c>
      <c r="D11">
        <v>7837</v>
      </c>
      <c r="E11">
        <v>8829</v>
      </c>
      <c r="F11" t="s">
        <v>17</v>
      </c>
      <c r="G11" t="str">
        <f t="shared" si="0"/>
        <v>星期六</v>
      </c>
      <c r="H11" t="str">
        <f t="shared" si="2"/>
        <v>周末</v>
      </c>
    </row>
    <row r="12" spans="1:11" x14ac:dyDescent="0.15">
      <c r="A12" s="1">
        <v>45921</v>
      </c>
      <c r="B12" t="s">
        <v>9</v>
      </c>
      <c r="C12" t="s">
        <v>10</v>
      </c>
      <c r="D12">
        <v>6258</v>
      </c>
      <c r="E12">
        <v>8288</v>
      </c>
      <c r="F12" t="s">
        <v>17</v>
      </c>
      <c r="G12" t="str">
        <f t="shared" si="0"/>
        <v>星期日</v>
      </c>
      <c r="H12" t="str">
        <f t="shared" si="2"/>
        <v>周末</v>
      </c>
    </row>
    <row r="13" spans="1:11" x14ac:dyDescent="0.15">
      <c r="A13" s="1">
        <v>45922</v>
      </c>
      <c r="B13" t="s">
        <v>9</v>
      </c>
      <c r="C13" t="s">
        <v>10</v>
      </c>
      <c r="D13">
        <v>5658</v>
      </c>
      <c r="E13">
        <v>7077</v>
      </c>
      <c r="F13" t="s">
        <v>18</v>
      </c>
      <c r="G13" t="str">
        <f t="shared" ref="G13:G30" si="3">TEXT(A13,"aaaa")</f>
        <v>星期一</v>
      </c>
      <c r="H13" t="str">
        <f t="shared" si="2"/>
        <v>工作日</v>
      </c>
    </row>
    <row r="14" spans="1:11" x14ac:dyDescent="0.15">
      <c r="A14" s="1">
        <v>45923</v>
      </c>
      <c r="B14" t="s">
        <v>9</v>
      </c>
      <c r="C14" t="s">
        <v>10</v>
      </c>
      <c r="D14">
        <v>7054</v>
      </c>
      <c r="E14">
        <v>6466</v>
      </c>
      <c r="F14" t="s">
        <v>18</v>
      </c>
      <c r="G14" t="str">
        <f t="shared" si="3"/>
        <v>星期二</v>
      </c>
      <c r="H14" t="str">
        <f t="shared" si="2"/>
        <v>工作日</v>
      </c>
    </row>
    <row r="15" spans="1:11" x14ac:dyDescent="0.15">
      <c r="A15" s="1">
        <v>45924</v>
      </c>
      <c r="B15" t="s">
        <v>9</v>
      </c>
      <c r="C15" t="s">
        <v>10</v>
      </c>
      <c r="D15">
        <v>6843</v>
      </c>
      <c r="E15">
        <v>4548</v>
      </c>
      <c r="F15" t="s">
        <v>18</v>
      </c>
      <c r="G15" t="str">
        <f t="shared" si="3"/>
        <v>星期三</v>
      </c>
      <c r="H15" t="str">
        <f t="shared" si="2"/>
        <v>工作日</v>
      </c>
    </row>
    <row r="16" spans="1:11" x14ac:dyDescent="0.15">
      <c r="A16" s="1">
        <v>45925</v>
      </c>
      <c r="B16" t="s">
        <v>9</v>
      </c>
      <c r="C16" t="s">
        <v>10</v>
      </c>
      <c r="D16">
        <v>4813</v>
      </c>
      <c r="E16">
        <v>3359</v>
      </c>
      <c r="F16" t="s">
        <v>19</v>
      </c>
      <c r="G16" t="str">
        <f t="shared" si="3"/>
        <v>星期四</v>
      </c>
      <c r="H16" t="str">
        <f t="shared" si="2"/>
        <v>工作日</v>
      </c>
    </row>
    <row r="17" spans="1:8" x14ac:dyDescent="0.15">
      <c r="A17" s="1">
        <v>45926</v>
      </c>
      <c r="B17" t="s">
        <v>9</v>
      </c>
      <c r="C17" t="s">
        <v>10</v>
      </c>
      <c r="D17">
        <v>3279</v>
      </c>
      <c r="E17">
        <v>2345</v>
      </c>
      <c r="F17" t="s">
        <v>20</v>
      </c>
      <c r="G17" t="str">
        <f t="shared" si="3"/>
        <v>星期五</v>
      </c>
      <c r="H17" t="str">
        <f t="shared" si="2"/>
        <v>工作日</v>
      </c>
    </row>
    <row r="18" spans="1:8" x14ac:dyDescent="0.15">
      <c r="A18" s="1">
        <v>45927</v>
      </c>
      <c r="B18" t="s">
        <v>9</v>
      </c>
      <c r="C18" t="s">
        <v>10</v>
      </c>
      <c r="D18">
        <v>2892</v>
      </c>
      <c r="E18">
        <v>2420</v>
      </c>
      <c r="F18" t="s">
        <v>21</v>
      </c>
      <c r="G18" t="str">
        <f t="shared" si="3"/>
        <v>星期六</v>
      </c>
      <c r="H18" t="str">
        <f t="shared" si="2"/>
        <v>周末</v>
      </c>
    </row>
    <row r="19" spans="1:8" x14ac:dyDescent="0.15">
      <c r="A19" s="1">
        <v>45928</v>
      </c>
      <c r="B19" t="s">
        <v>9</v>
      </c>
      <c r="C19" t="s">
        <v>10</v>
      </c>
      <c r="D19">
        <v>3216</v>
      </c>
      <c r="E19">
        <v>2934</v>
      </c>
      <c r="F19" t="s">
        <v>22</v>
      </c>
      <c r="G19" t="str">
        <f t="shared" si="3"/>
        <v>星期日</v>
      </c>
      <c r="H19" t="str">
        <f t="shared" si="2"/>
        <v>周末</v>
      </c>
    </row>
    <row r="20" spans="1:8" x14ac:dyDescent="0.15">
      <c r="A20" s="1">
        <v>45929</v>
      </c>
      <c r="B20" t="s">
        <v>9</v>
      </c>
      <c r="C20" t="s">
        <v>10</v>
      </c>
      <c r="D20">
        <v>3144</v>
      </c>
      <c r="E20">
        <v>2868</v>
      </c>
      <c r="F20" t="s">
        <v>23</v>
      </c>
      <c r="G20" t="str">
        <f t="shared" si="3"/>
        <v>星期一</v>
      </c>
      <c r="H20" t="str">
        <f t="shared" si="2"/>
        <v>工作日</v>
      </c>
    </row>
    <row r="21" spans="1:8" x14ac:dyDescent="0.15">
      <c r="A21" s="1">
        <v>45930</v>
      </c>
      <c r="B21" t="s">
        <v>9</v>
      </c>
      <c r="C21" t="s">
        <v>10</v>
      </c>
      <c r="D21">
        <v>3058</v>
      </c>
      <c r="E21">
        <v>6502</v>
      </c>
      <c r="F21" t="s">
        <v>24</v>
      </c>
      <c r="G21" t="str">
        <f t="shared" si="3"/>
        <v>星期二</v>
      </c>
      <c r="H21" t="str">
        <f t="shared" si="2"/>
        <v>工作日</v>
      </c>
    </row>
    <row r="22" spans="1:8" x14ac:dyDescent="0.15">
      <c r="A22" s="1">
        <v>45931</v>
      </c>
      <c r="B22" t="s">
        <v>9</v>
      </c>
      <c r="C22" t="s">
        <v>10</v>
      </c>
      <c r="D22">
        <v>6043</v>
      </c>
      <c r="E22">
        <v>16321</v>
      </c>
      <c r="F22" t="s">
        <v>25</v>
      </c>
      <c r="G22" t="str">
        <f t="shared" si="3"/>
        <v>星期三</v>
      </c>
      <c r="H22" t="str">
        <f t="shared" si="2"/>
        <v>工作日</v>
      </c>
    </row>
    <row r="23" spans="1:8" x14ac:dyDescent="0.15">
      <c r="A23" s="1">
        <v>45932</v>
      </c>
      <c r="B23" t="s">
        <v>9</v>
      </c>
      <c r="C23" t="s">
        <v>10</v>
      </c>
      <c r="D23">
        <v>14496</v>
      </c>
      <c r="E23">
        <v>20889</v>
      </c>
      <c r="F23" t="s">
        <v>13</v>
      </c>
      <c r="G23" t="str">
        <f t="shared" si="3"/>
        <v>星期四</v>
      </c>
      <c r="H23" t="str">
        <f t="shared" si="2"/>
        <v>工作日</v>
      </c>
    </row>
    <row r="24" spans="1:8" x14ac:dyDescent="0.15">
      <c r="A24" s="1">
        <v>45933</v>
      </c>
      <c r="B24" t="s">
        <v>9</v>
      </c>
      <c r="C24" t="s">
        <v>10</v>
      </c>
      <c r="D24">
        <v>18658</v>
      </c>
      <c r="E24">
        <v>21686</v>
      </c>
      <c r="F24" t="s">
        <v>13</v>
      </c>
      <c r="G24" t="str">
        <f t="shared" si="3"/>
        <v>星期五</v>
      </c>
      <c r="H24" t="str">
        <f t="shared" si="2"/>
        <v>工作日</v>
      </c>
    </row>
    <row r="25" spans="1:8" x14ac:dyDescent="0.15">
      <c r="A25" s="1">
        <v>45934</v>
      </c>
      <c r="B25" t="s">
        <v>9</v>
      </c>
      <c r="C25" t="s">
        <v>10</v>
      </c>
      <c r="D25">
        <v>18470</v>
      </c>
      <c r="E25">
        <v>19637</v>
      </c>
      <c r="F25" t="s">
        <v>21</v>
      </c>
      <c r="G25" t="str">
        <f t="shared" si="3"/>
        <v>星期六</v>
      </c>
      <c r="H25" t="str">
        <f t="shared" si="2"/>
        <v>周末</v>
      </c>
    </row>
    <row r="26" spans="1:8" x14ac:dyDescent="0.15">
      <c r="A26" s="1">
        <v>45935</v>
      </c>
      <c r="B26" t="s">
        <v>9</v>
      </c>
      <c r="C26" t="s">
        <v>10</v>
      </c>
      <c r="D26">
        <v>18362</v>
      </c>
      <c r="E26">
        <v>9354</v>
      </c>
      <c r="F26" t="s">
        <v>21</v>
      </c>
      <c r="G26" t="str">
        <f t="shared" si="3"/>
        <v>星期日</v>
      </c>
      <c r="H26" t="str">
        <f t="shared" si="2"/>
        <v>周末</v>
      </c>
    </row>
    <row r="27" spans="1:8" x14ac:dyDescent="0.15">
      <c r="A27" s="1">
        <v>45936</v>
      </c>
      <c r="B27" t="s">
        <v>9</v>
      </c>
      <c r="C27" t="s">
        <v>10</v>
      </c>
      <c r="D27">
        <v>10506</v>
      </c>
      <c r="E27">
        <v>3718</v>
      </c>
      <c r="F27" t="s">
        <v>26</v>
      </c>
      <c r="G27" t="str">
        <f t="shared" si="3"/>
        <v>星期一</v>
      </c>
      <c r="H27" t="str">
        <f t="shared" si="2"/>
        <v>工作日</v>
      </c>
    </row>
    <row r="28" spans="1:8" x14ac:dyDescent="0.15">
      <c r="A28" s="1">
        <v>45937</v>
      </c>
      <c r="B28" t="s">
        <v>9</v>
      </c>
      <c r="C28" t="s">
        <v>10</v>
      </c>
      <c r="D28">
        <v>4449</v>
      </c>
      <c r="E28">
        <v>1899</v>
      </c>
      <c r="F28" t="s">
        <v>27</v>
      </c>
      <c r="G28" t="str">
        <f t="shared" si="3"/>
        <v>星期二</v>
      </c>
      <c r="H28" t="str">
        <f t="shared" si="2"/>
        <v>工作日</v>
      </c>
    </row>
    <row r="29" spans="1:8" x14ac:dyDescent="0.15">
      <c r="A29" s="1">
        <v>45938</v>
      </c>
      <c r="B29" t="s">
        <v>9</v>
      </c>
      <c r="C29" t="s">
        <v>10</v>
      </c>
      <c r="D29">
        <v>2570</v>
      </c>
      <c r="E29">
        <v>1894</v>
      </c>
      <c r="F29" t="s">
        <v>14</v>
      </c>
      <c r="G29" t="str">
        <f t="shared" si="3"/>
        <v>星期三</v>
      </c>
      <c r="H29" t="str">
        <f t="shared" si="2"/>
        <v>工作日</v>
      </c>
    </row>
    <row r="30" spans="1:8" x14ac:dyDescent="0.15">
      <c r="A30" s="1">
        <v>45939</v>
      </c>
      <c r="B30" t="s">
        <v>9</v>
      </c>
      <c r="C30" t="s">
        <v>10</v>
      </c>
      <c r="D30">
        <v>2537</v>
      </c>
      <c r="E30">
        <v>2828</v>
      </c>
      <c r="F30" t="s">
        <v>21</v>
      </c>
      <c r="G30" t="str">
        <f t="shared" si="3"/>
        <v>星期四</v>
      </c>
      <c r="H30" t="str">
        <f t="shared" si="2"/>
        <v>工作日</v>
      </c>
    </row>
    <row r="31" spans="1:8" x14ac:dyDescent="0.15">
      <c r="A31" s="1">
        <v>45940</v>
      </c>
      <c r="B31" t="s">
        <v>9</v>
      </c>
      <c r="C31" t="s">
        <v>10</v>
      </c>
      <c r="D31">
        <v>3391</v>
      </c>
      <c r="E31">
        <v>4671</v>
      </c>
      <c r="F31" t="s">
        <v>21</v>
      </c>
      <c r="G31" t="str">
        <f t="shared" ref="G31:G66" si="4">TEXT(A31,"aaaa")</f>
        <v>星期五</v>
      </c>
      <c r="H31" t="str">
        <f t="shared" ref="H31:H66" si="5">IF(OR(WEEKDAY(A31)=1,WEEKDAY(A31)=7),"周末","工作日")</f>
        <v>工作日</v>
      </c>
    </row>
    <row r="32" spans="1:8" x14ac:dyDescent="0.15">
      <c r="A32" s="1">
        <v>45941</v>
      </c>
      <c r="B32" t="s">
        <v>9</v>
      </c>
      <c r="C32" t="s">
        <v>10</v>
      </c>
      <c r="D32">
        <v>4776</v>
      </c>
      <c r="E32">
        <v>5905</v>
      </c>
      <c r="F32" t="s">
        <v>21</v>
      </c>
      <c r="G32" t="str">
        <f t="shared" si="4"/>
        <v>星期六</v>
      </c>
      <c r="H32" t="str">
        <f t="shared" si="5"/>
        <v>周末</v>
      </c>
    </row>
    <row r="33" spans="1:8" x14ac:dyDescent="0.15">
      <c r="A33" s="1">
        <v>45942</v>
      </c>
      <c r="B33" t="s">
        <v>9</v>
      </c>
      <c r="C33" t="s">
        <v>10</v>
      </c>
      <c r="D33">
        <v>5720</v>
      </c>
      <c r="E33">
        <v>5128</v>
      </c>
      <c r="F33" t="s">
        <v>14</v>
      </c>
      <c r="G33" t="str">
        <f t="shared" si="4"/>
        <v>星期日</v>
      </c>
      <c r="H33" t="str">
        <f t="shared" si="5"/>
        <v>周末</v>
      </c>
    </row>
    <row r="34" spans="1:8" x14ac:dyDescent="0.15">
      <c r="A34" s="1">
        <v>45943</v>
      </c>
      <c r="B34" t="s">
        <v>9</v>
      </c>
      <c r="C34" t="s">
        <v>10</v>
      </c>
      <c r="D34">
        <v>5576</v>
      </c>
      <c r="E34">
        <v>5024</v>
      </c>
      <c r="F34" t="s">
        <v>15</v>
      </c>
      <c r="G34" t="str">
        <f t="shared" si="4"/>
        <v>星期一</v>
      </c>
      <c r="H34" t="str">
        <f t="shared" si="5"/>
        <v>工作日</v>
      </c>
    </row>
    <row r="35" spans="1:8" x14ac:dyDescent="0.15">
      <c r="A35" s="1">
        <v>45944</v>
      </c>
      <c r="B35" t="s">
        <v>9</v>
      </c>
      <c r="C35" t="s">
        <v>10</v>
      </c>
      <c r="D35">
        <v>5651</v>
      </c>
      <c r="E35">
        <v>4714</v>
      </c>
      <c r="F35" t="s">
        <v>28</v>
      </c>
      <c r="G35" t="str">
        <f t="shared" si="4"/>
        <v>星期二</v>
      </c>
      <c r="H35" t="str">
        <f t="shared" si="5"/>
        <v>工作日</v>
      </c>
    </row>
    <row r="36" spans="1:8" x14ac:dyDescent="0.15">
      <c r="A36" s="1">
        <v>45945</v>
      </c>
      <c r="B36" t="s">
        <v>9</v>
      </c>
      <c r="C36" t="s">
        <v>10</v>
      </c>
      <c r="D36">
        <v>5217</v>
      </c>
      <c r="E36">
        <v>5314</v>
      </c>
      <c r="F36" t="s">
        <v>29</v>
      </c>
      <c r="G36" t="str">
        <f t="shared" si="4"/>
        <v>星期三</v>
      </c>
      <c r="H36" t="str">
        <f t="shared" si="5"/>
        <v>工作日</v>
      </c>
    </row>
    <row r="37" spans="1:8" x14ac:dyDescent="0.15">
      <c r="A37" s="1">
        <v>45946</v>
      </c>
      <c r="B37" t="s">
        <v>9</v>
      </c>
      <c r="C37" t="s">
        <v>10</v>
      </c>
      <c r="D37">
        <v>5717</v>
      </c>
      <c r="E37">
        <v>6001</v>
      </c>
      <c r="F37" t="s">
        <v>14</v>
      </c>
      <c r="G37" t="str">
        <f t="shared" si="4"/>
        <v>星期四</v>
      </c>
      <c r="H37" t="str">
        <f t="shared" si="5"/>
        <v>工作日</v>
      </c>
    </row>
    <row r="38" spans="1:8" x14ac:dyDescent="0.15">
      <c r="A38" s="1">
        <v>45947</v>
      </c>
      <c r="B38" t="s">
        <v>9</v>
      </c>
      <c r="C38" t="s">
        <v>10</v>
      </c>
      <c r="D38">
        <v>6347</v>
      </c>
      <c r="E38">
        <v>4833</v>
      </c>
      <c r="F38" t="s">
        <v>18</v>
      </c>
      <c r="G38" t="str">
        <f t="shared" si="4"/>
        <v>星期五</v>
      </c>
      <c r="H38" t="str">
        <f t="shared" si="5"/>
        <v>工作日</v>
      </c>
    </row>
    <row r="39" spans="1:8" x14ac:dyDescent="0.15">
      <c r="A39" s="1">
        <v>45948</v>
      </c>
      <c r="B39" t="s">
        <v>9</v>
      </c>
      <c r="C39" t="s">
        <v>10</v>
      </c>
      <c r="D39">
        <v>5616</v>
      </c>
      <c r="E39">
        <v>4444</v>
      </c>
      <c r="F39" t="s">
        <v>28</v>
      </c>
      <c r="G39" t="str">
        <f t="shared" si="4"/>
        <v>星期六</v>
      </c>
      <c r="H39" t="str">
        <f t="shared" si="5"/>
        <v>周末</v>
      </c>
    </row>
    <row r="40" spans="1:8" x14ac:dyDescent="0.15">
      <c r="A40" s="1">
        <v>45949</v>
      </c>
      <c r="B40" t="s">
        <v>9</v>
      </c>
      <c r="C40" t="s">
        <v>10</v>
      </c>
      <c r="D40">
        <v>5668</v>
      </c>
      <c r="E40">
        <v>4267</v>
      </c>
      <c r="F40" t="s">
        <v>30</v>
      </c>
      <c r="G40" t="str">
        <f t="shared" si="4"/>
        <v>星期日</v>
      </c>
      <c r="H40" t="str">
        <f t="shared" si="5"/>
        <v>周末</v>
      </c>
    </row>
    <row r="41" spans="1:8" x14ac:dyDescent="0.15">
      <c r="A41" s="1">
        <v>45950</v>
      </c>
      <c r="B41" t="s">
        <v>9</v>
      </c>
      <c r="C41" t="s">
        <v>10</v>
      </c>
      <c r="D41">
        <v>5229</v>
      </c>
      <c r="E41">
        <v>5333</v>
      </c>
      <c r="F41" t="s">
        <v>31</v>
      </c>
      <c r="G41" t="str">
        <f t="shared" si="4"/>
        <v>星期一</v>
      </c>
      <c r="H41" t="str">
        <f t="shared" si="5"/>
        <v>工作日</v>
      </c>
    </row>
    <row r="42" spans="1:8" x14ac:dyDescent="0.15">
      <c r="A42" s="1">
        <v>45951</v>
      </c>
      <c r="B42" t="s">
        <v>9</v>
      </c>
      <c r="C42" t="s">
        <v>10</v>
      </c>
      <c r="D42">
        <v>5786</v>
      </c>
      <c r="E42">
        <v>5108</v>
      </c>
      <c r="F42" t="s">
        <v>32</v>
      </c>
      <c r="G42" t="str">
        <f t="shared" si="4"/>
        <v>星期二</v>
      </c>
      <c r="H42" t="str">
        <f t="shared" si="5"/>
        <v>工作日</v>
      </c>
    </row>
    <row r="43" spans="1:8" x14ac:dyDescent="0.15">
      <c r="A43" s="1">
        <v>45952</v>
      </c>
      <c r="B43" t="s">
        <v>9</v>
      </c>
      <c r="C43" t="s">
        <v>10</v>
      </c>
      <c r="D43">
        <v>5693</v>
      </c>
      <c r="E43">
        <v>4752</v>
      </c>
      <c r="F43" t="s">
        <v>33</v>
      </c>
      <c r="G43" t="str">
        <f t="shared" si="4"/>
        <v>星期三</v>
      </c>
      <c r="H43" t="str">
        <f t="shared" si="5"/>
        <v>工作日</v>
      </c>
    </row>
    <row r="44" spans="1:8" x14ac:dyDescent="0.15">
      <c r="A44" s="1">
        <v>45953</v>
      </c>
      <c r="B44" t="s">
        <v>9</v>
      </c>
      <c r="C44" t="s">
        <v>10</v>
      </c>
      <c r="F44" t="s">
        <v>34</v>
      </c>
      <c r="G44" t="str">
        <f t="shared" si="4"/>
        <v>星期四</v>
      </c>
      <c r="H44" t="str">
        <f t="shared" si="5"/>
        <v>工作日</v>
      </c>
    </row>
    <row r="45" spans="1:8" x14ac:dyDescent="0.15">
      <c r="A45" s="1">
        <v>45954</v>
      </c>
      <c r="B45" t="s">
        <v>9</v>
      </c>
      <c r="C45" t="s">
        <v>10</v>
      </c>
      <c r="D45">
        <v>5062</v>
      </c>
      <c r="E45">
        <v>5014</v>
      </c>
      <c r="F45" t="s">
        <v>34</v>
      </c>
      <c r="G45" t="str">
        <f t="shared" si="4"/>
        <v>星期五</v>
      </c>
      <c r="H45" t="str">
        <f t="shared" si="5"/>
        <v>工作日</v>
      </c>
    </row>
    <row r="46" spans="1:8" x14ac:dyDescent="0.15">
      <c r="A46" s="1">
        <v>45955</v>
      </c>
      <c r="B46" t="s">
        <v>9</v>
      </c>
      <c r="C46" t="s">
        <v>10</v>
      </c>
      <c r="D46">
        <v>4959</v>
      </c>
      <c r="E46">
        <v>3592</v>
      </c>
      <c r="F46" t="s">
        <v>35</v>
      </c>
      <c r="G46" t="str">
        <f t="shared" si="4"/>
        <v>星期六</v>
      </c>
      <c r="H46" t="str">
        <f t="shared" si="5"/>
        <v>周末</v>
      </c>
    </row>
    <row r="47" spans="1:8" x14ac:dyDescent="0.15">
      <c r="A47" s="1">
        <v>45956</v>
      </c>
      <c r="B47" t="s">
        <v>9</v>
      </c>
      <c r="C47" t="s">
        <v>10</v>
      </c>
      <c r="D47">
        <v>4028</v>
      </c>
      <c r="E47">
        <v>2935</v>
      </c>
      <c r="F47" t="s">
        <v>36</v>
      </c>
      <c r="G47" t="str">
        <f t="shared" si="4"/>
        <v>星期日</v>
      </c>
      <c r="H47" t="str">
        <f t="shared" si="5"/>
        <v>周末</v>
      </c>
    </row>
    <row r="48" spans="1:8" x14ac:dyDescent="0.15">
      <c r="A48" s="1">
        <v>45957</v>
      </c>
      <c r="B48" t="s">
        <v>9</v>
      </c>
      <c r="C48" t="s">
        <v>10</v>
      </c>
      <c r="D48">
        <v>3483</v>
      </c>
      <c r="E48">
        <v>2398</v>
      </c>
      <c r="F48" t="s">
        <v>33</v>
      </c>
      <c r="G48" t="str">
        <f t="shared" si="4"/>
        <v>星期一</v>
      </c>
      <c r="H48" t="str">
        <f t="shared" si="5"/>
        <v>工作日</v>
      </c>
    </row>
    <row r="49" spans="1:8" x14ac:dyDescent="0.15">
      <c r="A49" s="1">
        <v>45958</v>
      </c>
      <c r="B49" t="s">
        <v>9</v>
      </c>
      <c r="C49" t="s">
        <v>10</v>
      </c>
      <c r="D49">
        <v>3363</v>
      </c>
      <c r="E49">
        <v>2445</v>
      </c>
      <c r="F49" t="s">
        <v>37</v>
      </c>
      <c r="G49" t="str">
        <f t="shared" si="4"/>
        <v>星期二</v>
      </c>
      <c r="H49" t="str">
        <f t="shared" si="5"/>
        <v>工作日</v>
      </c>
    </row>
    <row r="50" spans="1:8" x14ac:dyDescent="0.15">
      <c r="A50" s="1">
        <v>45959</v>
      </c>
      <c r="B50" t="s">
        <v>9</v>
      </c>
      <c r="C50" t="s">
        <v>10</v>
      </c>
      <c r="D50">
        <v>2960</v>
      </c>
      <c r="E50">
        <v>3185</v>
      </c>
      <c r="F50" t="s">
        <v>38</v>
      </c>
      <c r="G50" t="str">
        <f t="shared" si="4"/>
        <v>星期三</v>
      </c>
      <c r="H50" t="str">
        <f t="shared" si="5"/>
        <v>工作日</v>
      </c>
    </row>
    <row r="51" spans="1:8" x14ac:dyDescent="0.15">
      <c r="A51" s="1">
        <v>45960</v>
      </c>
      <c r="B51" t="s">
        <v>9</v>
      </c>
      <c r="C51" t="s">
        <v>10</v>
      </c>
      <c r="D51">
        <v>3446</v>
      </c>
      <c r="E51">
        <v>3002</v>
      </c>
      <c r="F51" t="s">
        <v>31</v>
      </c>
      <c r="G51" t="str">
        <f t="shared" si="4"/>
        <v>星期四</v>
      </c>
      <c r="H51" t="str">
        <f t="shared" si="5"/>
        <v>工作日</v>
      </c>
    </row>
    <row r="52" spans="1:8" x14ac:dyDescent="0.15">
      <c r="A52" s="1">
        <v>45961</v>
      </c>
      <c r="B52" t="s">
        <v>9</v>
      </c>
      <c r="C52" t="s">
        <v>10</v>
      </c>
      <c r="D52">
        <v>3392</v>
      </c>
      <c r="E52">
        <v>3088</v>
      </c>
      <c r="F52" t="s">
        <v>39</v>
      </c>
      <c r="G52" t="str">
        <f t="shared" si="4"/>
        <v>星期五</v>
      </c>
      <c r="H52" t="str">
        <f t="shared" si="5"/>
        <v>工作日</v>
      </c>
    </row>
    <row r="53" spans="1:8" x14ac:dyDescent="0.15">
      <c r="A53" s="1">
        <v>45962</v>
      </c>
      <c r="B53" t="s">
        <v>9</v>
      </c>
      <c r="C53" t="s">
        <v>10</v>
      </c>
      <c r="D53">
        <v>3475</v>
      </c>
      <c r="E53">
        <v>2933</v>
      </c>
      <c r="F53" t="s">
        <v>40</v>
      </c>
      <c r="G53" t="str">
        <f t="shared" si="4"/>
        <v>星期六</v>
      </c>
      <c r="H53" t="str">
        <f t="shared" si="5"/>
        <v>周末</v>
      </c>
    </row>
    <row r="54" spans="1:8" x14ac:dyDescent="0.15">
      <c r="A54" s="1">
        <v>45963</v>
      </c>
      <c r="B54" t="s">
        <v>9</v>
      </c>
      <c r="C54" t="s">
        <v>10</v>
      </c>
      <c r="D54">
        <v>2941</v>
      </c>
      <c r="E54">
        <v>1912</v>
      </c>
      <c r="F54" t="s">
        <v>41</v>
      </c>
      <c r="G54" t="str">
        <f t="shared" si="4"/>
        <v>星期日</v>
      </c>
      <c r="H54" t="str">
        <f t="shared" si="5"/>
        <v>周末</v>
      </c>
    </row>
    <row r="55" spans="1:8" x14ac:dyDescent="0.15">
      <c r="A55" s="1">
        <v>45964</v>
      </c>
      <c r="B55" t="s">
        <v>9</v>
      </c>
      <c r="C55" t="s">
        <v>10</v>
      </c>
      <c r="D55">
        <v>2018</v>
      </c>
      <c r="E55">
        <v>3037</v>
      </c>
      <c r="F55" t="s">
        <v>42</v>
      </c>
      <c r="G55" t="str">
        <f t="shared" si="4"/>
        <v>星期一</v>
      </c>
      <c r="H55" t="str">
        <f t="shared" si="5"/>
        <v>工作日</v>
      </c>
    </row>
    <row r="56" spans="1:8" x14ac:dyDescent="0.15">
      <c r="A56" s="1">
        <v>45965</v>
      </c>
      <c r="B56" t="s">
        <v>9</v>
      </c>
      <c r="C56" t="s">
        <v>10</v>
      </c>
      <c r="D56">
        <v>3181</v>
      </c>
      <c r="E56">
        <v>2689</v>
      </c>
      <c r="F56" t="s">
        <v>43</v>
      </c>
      <c r="G56" t="str">
        <f t="shared" si="4"/>
        <v>星期二</v>
      </c>
      <c r="H56" t="str">
        <f t="shared" si="5"/>
        <v>工作日</v>
      </c>
    </row>
    <row r="57" spans="1:8" x14ac:dyDescent="0.15">
      <c r="A57" s="1">
        <v>45966</v>
      </c>
      <c r="B57" t="s">
        <v>9</v>
      </c>
      <c r="C57" t="s">
        <v>10</v>
      </c>
      <c r="D57">
        <v>2856</v>
      </c>
      <c r="E57">
        <v>2986</v>
      </c>
      <c r="F57" t="s">
        <v>35</v>
      </c>
      <c r="G57" t="str">
        <f t="shared" si="4"/>
        <v>星期三</v>
      </c>
      <c r="H57" t="str">
        <f t="shared" si="5"/>
        <v>工作日</v>
      </c>
    </row>
    <row r="58" spans="1:8" x14ac:dyDescent="0.15">
      <c r="A58" s="1">
        <v>45967</v>
      </c>
      <c r="B58" t="s">
        <v>9</v>
      </c>
      <c r="C58" t="s">
        <v>10</v>
      </c>
      <c r="D58">
        <v>3247</v>
      </c>
      <c r="E58">
        <v>3057</v>
      </c>
      <c r="F58" t="s">
        <v>33</v>
      </c>
      <c r="G58" t="str">
        <f t="shared" si="4"/>
        <v>星期四</v>
      </c>
      <c r="H58" t="str">
        <f t="shared" si="5"/>
        <v>工作日</v>
      </c>
    </row>
    <row r="59" spans="1:8" x14ac:dyDescent="0.15">
      <c r="A59" s="1">
        <v>45968</v>
      </c>
      <c r="B59" t="s">
        <v>9</v>
      </c>
      <c r="C59" t="s">
        <v>10</v>
      </c>
      <c r="D59">
        <v>3209</v>
      </c>
      <c r="E59">
        <v>3060</v>
      </c>
      <c r="F59" t="s">
        <v>36</v>
      </c>
      <c r="G59" t="str">
        <f t="shared" si="4"/>
        <v>星期五</v>
      </c>
      <c r="H59" t="str">
        <f t="shared" si="5"/>
        <v>工作日</v>
      </c>
    </row>
    <row r="60" spans="1:8" x14ac:dyDescent="0.15">
      <c r="A60" s="1">
        <v>45969</v>
      </c>
      <c r="B60" t="s">
        <v>9</v>
      </c>
      <c r="C60" t="s">
        <v>10</v>
      </c>
      <c r="D60">
        <v>3143</v>
      </c>
      <c r="E60">
        <v>2475</v>
      </c>
      <c r="F60" t="s">
        <v>44</v>
      </c>
      <c r="G60" t="str">
        <f t="shared" si="4"/>
        <v>星期六</v>
      </c>
      <c r="H60" t="str">
        <f t="shared" si="5"/>
        <v>周末</v>
      </c>
    </row>
    <row r="61" spans="1:8" x14ac:dyDescent="0.15">
      <c r="A61" s="1">
        <v>45970</v>
      </c>
      <c r="B61" t="s">
        <v>9</v>
      </c>
      <c r="C61" t="s">
        <v>10</v>
      </c>
      <c r="D61">
        <v>2649</v>
      </c>
      <c r="E61">
        <v>2551</v>
      </c>
      <c r="F61" t="s">
        <v>45</v>
      </c>
      <c r="G61" t="str">
        <f t="shared" si="4"/>
        <v>星期日</v>
      </c>
      <c r="H61" t="str">
        <f t="shared" si="5"/>
        <v>周末</v>
      </c>
    </row>
    <row r="62" spans="1:8" x14ac:dyDescent="0.15">
      <c r="A62" s="1">
        <v>45971</v>
      </c>
      <c r="B62" t="s">
        <v>9</v>
      </c>
      <c r="C62" t="s">
        <v>10</v>
      </c>
      <c r="D62">
        <v>2894</v>
      </c>
      <c r="E62">
        <v>2549</v>
      </c>
      <c r="F62" t="s">
        <v>46</v>
      </c>
      <c r="G62" t="str">
        <f t="shared" si="4"/>
        <v>星期一</v>
      </c>
      <c r="H62" t="str">
        <f t="shared" si="5"/>
        <v>工作日</v>
      </c>
    </row>
    <row r="63" spans="1:8" x14ac:dyDescent="0.15">
      <c r="A63" s="1">
        <v>45972</v>
      </c>
      <c r="B63" t="s">
        <v>9</v>
      </c>
      <c r="C63" t="s">
        <v>10</v>
      </c>
      <c r="D63">
        <v>2531</v>
      </c>
      <c r="E63">
        <v>3508</v>
      </c>
      <c r="F63" t="s">
        <v>35</v>
      </c>
      <c r="G63" t="str">
        <f t="shared" si="4"/>
        <v>星期二</v>
      </c>
      <c r="H63" t="str">
        <f t="shared" si="5"/>
        <v>工作日</v>
      </c>
    </row>
    <row r="64" spans="1:8" x14ac:dyDescent="0.15">
      <c r="A64" s="1">
        <v>45973</v>
      </c>
      <c r="B64" t="s">
        <v>9</v>
      </c>
      <c r="C64" t="s">
        <v>10</v>
      </c>
      <c r="D64">
        <v>3587</v>
      </c>
      <c r="E64">
        <v>3711</v>
      </c>
      <c r="F64" t="s">
        <v>47</v>
      </c>
      <c r="G64" t="str">
        <f t="shared" si="4"/>
        <v>星期三</v>
      </c>
      <c r="H64" t="str">
        <f t="shared" si="5"/>
        <v>工作日</v>
      </c>
    </row>
    <row r="65" spans="1:8" x14ac:dyDescent="0.15">
      <c r="A65" s="1">
        <v>45974</v>
      </c>
      <c r="B65" t="s">
        <v>9</v>
      </c>
      <c r="C65" t="s">
        <v>10</v>
      </c>
      <c r="D65">
        <v>4576</v>
      </c>
      <c r="E65">
        <v>3694</v>
      </c>
      <c r="F65" t="s">
        <v>37</v>
      </c>
      <c r="G65" t="str">
        <f t="shared" si="4"/>
        <v>星期四</v>
      </c>
      <c r="H65" t="str">
        <f t="shared" si="5"/>
        <v>工作日</v>
      </c>
    </row>
    <row r="66" spans="1:8" x14ac:dyDescent="0.15">
      <c r="A66" s="1">
        <v>45975</v>
      </c>
      <c r="B66" t="s">
        <v>9</v>
      </c>
      <c r="C66" t="s">
        <v>10</v>
      </c>
      <c r="D66">
        <v>4260</v>
      </c>
      <c r="E66">
        <v>3901</v>
      </c>
      <c r="F66" t="s">
        <v>37</v>
      </c>
      <c r="G66" t="str">
        <f t="shared" si="4"/>
        <v>星期五</v>
      </c>
      <c r="H66" t="str">
        <f t="shared" si="5"/>
        <v>工作日</v>
      </c>
    </row>
    <row r="67" spans="1:8" x14ac:dyDescent="0.15">
      <c r="A67" s="1">
        <v>45976</v>
      </c>
      <c r="B67" t="s">
        <v>9</v>
      </c>
      <c r="C67" t="s">
        <v>10</v>
      </c>
      <c r="D67">
        <v>4158</v>
      </c>
      <c r="E67">
        <v>2307</v>
      </c>
      <c r="F67" t="s">
        <v>37</v>
      </c>
      <c r="G67" t="str">
        <f t="shared" ref="G67:G98" si="6">TEXT(A67,"aaaa")</f>
        <v>星期六</v>
      </c>
      <c r="H67" t="str">
        <f t="shared" ref="H67:H98" si="7">IF(OR(WEEKDAY(A67)=1,WEEKDAY(A67)=7),"周末","工作日")</f>
        <v>周末</v>
      </c>
    </row>
    <row r="68" spans="1:8" x14ac:dyDescent="0.15">
      <c r="A68" s="1">
        <v>45977</v>
      </c>
      <c r="B68" t="s">
        <v>9</v>
      </c>
      <c r="C68" t="s">
        <v>10</v>
      </c>
      <c r="D68">
        <v>3048</v>
      </c>
      <c r="E68">
        <v>2375</v>
      </c>
      <c r="F68" t="s">
        <v>48</v>
      </c>
      <c r="G68" t="str">
        <f t="shared" si="6"/>
        <v>星期日</v>
      </c>
      <c r="H68" t="str">
        <f t="shared" si="7"/>
        <v>周末</v>
      </c>
    </row>
    <row r="69" spans="1:8" x14ac:dyDescent="0.15">
      <c r="A69" s="1">
        <v>45978</v>
      </c>
      <c r="B69" t="s">
        <v>9</v>
      </c>
      <c r="C69" t="s">
        <v>10</v>
      </c>
      <c r="D69">
        <v>2460</v>
      </c>
      <c r="E69">
        <v>1973</v>
      </c>
      <c r="F69" t="s">
        <v>34</v>
      </c>
      <c r="G69" t="str">
        <f t="shared" si="6"/>
        <v>星期一</v>
      </c>
      <c r="H69" t="str">
        <f t="shared" si="7"/>
        <v>工作日</v>
      </c>
    </row>
    <row r="70" spans="1:8" x14ac:dyDescent="0.15">
      <c r="A70" s="1">
        <v>45979</v>
      </c>
      <c r="B70" t="s">
        <v>9</v>
      </c>
      <c r="C70" t="s">
        <v>10</v>
      </c>
      <c r="D70">
        <v>2384</v>
      </c>
      <c r="E70">
        <v>2040</v>
      </c>
      <c r="F70" t="s">
        <v>49</v>
      </c>
      <c r="G70" t="str">
        <f t="shared" si="6"/>
        <v>星期二</v>
      </c>
      <c r="H70" t="str">
        <f t="shared" si="7"/>
        <v>工作日</v>
      </c>
    </row>
    <row r="71" spans="1:8" x14ac:dyDescent="0.15">
      <c r="A71" s="1">
        <v>45980</v>
      </c>
      <c r="B71" t="s">
        <v>9</v>
      </c>
      <c r="C71" t="s">
        <v>10</v>
      </c>
      <c r="D71">
        <v>2379</v>
      </c>
      <c r="E71">
        <v>2155</v>
      </c>
      <c r="F71" t="s">
        <v>50</v>
      </c>
      <c r="G71" t="str">
        <f t="shared" si="6"/>
        <v>星期三</v>
      </c>
      <c r="H71" t="str">
        <f t="shared" si="7"/>
        <v>工作日</v>
      </c>
    </row>
    <row r="72" spans="1:8" x14ac:dyDescent="0.15">
      <c r="A72" s="1">
        <v>45981</v>
      </c>
      <c r="B72" t="s">
        <v>9</v>
      </c>
      <c r="C72" t="s">
        <v>10</v>
      </c>
      <c r="D72">
        <v>2571</v>
      </c>
      <c r="E72">
        <v>2476</v>
      </c>
      <c r="F72" t="s">
        <v>51</v>
      </c>
      <c r="G72" t="str">
        <f t="shared" si="6"/>
        <v>星期四</v>
      </c>
      <c r="H72" t="str">
        <f t="shared" si="7"/>
        <v>工作日</v>
      </c>
    </row>
    <row r="73" spans="1:8" x14ac:dyDescent="0.15">
      <c r="A73" s="1">
        <v>45982</v>
      </c>
      <c r="B73" t="s">
        <v>9</v>
      </c>
      <c r="C73" t="s">
        <v>10</v>
      </c>
      <c r="D73">
        <v>2694</v>
      </c>
      <c r="E73">
        <v>1972</v>
      </c>
      <c r="F73" t="s">
        <v>52</v>
      </c>
      <c r="G73" t="str">
        <f t="shared" si="6"/>
        <v>星期五</v>
      </c>
      <c r="H73" t="str">
        <f t="shared" si="7"/>
        <v>工作日</v>
      </c>
    </row>
    <row r="74" spans="1:8" x14ac:dyDescent="0.15">
      <c r="A74" s="1">
        <v>45983</v>
      </c>
      <c r="B74" t="s">
        <v>9</v>
      </c>
      <c r="C74" t="s">
        <v>10</v>
      </c>
      <c r="D74">
        <v>2361</v>
      </c>
      <c r="E74">
        <v>1908</v>
      </c>
      <c r="F74" t="s">
        <v>53</v>
      </c>
      <c r="G74" t="str">
        <f t="shared" si="6"/>
        <v>星期六</v>
      </c>
      <c r="H74" t="str">
        <f t="shared" si="7"/>
        <v>周末</v>
      </c>
    </row>
    <row r="75" spans="1:8" x14ac:dyDescent="0.15">
      <c r="A75" s="1">
        <v>45984</v>
      </c>
      <c r="B75" t="s">
        <v>9</v>
      </c>
      <c r="C75" t="s">
        <v>10</v>
      </c>
      <c r="D75">
        <v>2055</v>
      </c>
      <c r="E75">
        <v>1392</v>
      </c>
      <c r="F75" t="s">
        <v>52</v>
      </c>
      <c r="G75" t="str">
        <f t="shared" si="6"/>
        <v>星期日</v>
      </c>
      <c r="H75" t="str">
        <f t="shared" si="7"/>
        <v>周末</v>
      </c>
    </row>
    <row r="76" spans="1:8" x14ac:dyDescent="0.15">
      <c r="A76" s="1">
        <v>45985</v>
      </c>
      <c r="B76" t="s">
        <v>9</v>
      </c>
      <c r="C76" t="s">
        <v>10</v>
      </c>
      <c r="D76">
        <v>1721</v>
      </c>
      <c r="E76">
        <v>1512</v>
      </c>
      <c r="F76" t="s">
        <v>34</v>
      </c>
      <c r="G76" t="str">
        <f t="shared" si="6"/>
        <v>星期一</v>
      </c>
      <c r="H76" t="str">
        <f t="shared" si="7"/>
        <v>工作日</v>
      </c>
    </row>
    <row r="77" spans="1:8" x14ac:dyDescent="0.15">
      <c r="A77" s="1">
        <v>45986</v>
      </c>
      <c r="B77" t="s">
        <v>9</v>
      </c>
      <c r="C77" t="s">
        <v>10</v>
      </c>
      <c r="D77">
        <v>1941</v>
      </c>
      <c r="E77">
        <v>2174</v>
      </c>
      <c r="F77" t="s">
        <v>52</v>
      </c>
      <c r="G77" t="str">
        <f t="shared" si="6"/>
        <v>星期二</v>
      </c>
      <c r="H77" t="str">
        <f t="shared" si="7"/>
        <v>工作日</v>
      </c>
    </row>
    <row r="78" spans="1:8" x14ac:dyDescent="0.15">
      <c r="A78" s="1">
        <v>45987</v>
      </c>
      <c r="B78" t="s">
        <v>9</v>
      </c>
      <c r="C78" t="s">
        <v>10</v>
      </c>
      <c r="D78">
        <v>2364</v>
      </c>
      <c r="E78">
        <v>1603</v>
      </c>
      <c r="F78" t="s">
        <v>34</v>
      </c>
      <c r="G78" t="str">
        <f t="shared" si="6"/>
        <v>星期三</v>
      </c>
      <c r="H78" t="str">
        <f t="shared" si="7"/>
        <v>工作日</v>
      </c>
    </row>
    <row r="79" spans="1:8" x14ac:dyDescent="0.15">
      <c r="A79" s="1">
        <v>45988</v>
      </c>
      <c r="B79" t="s">
        <v>9</v>
      </c>
      <c r="C79" t="s">
        <v>10</v>
      </c>
      <c r="D79">
        <v>1894</v>
      </c>
      <c r="E79">
        <v>1351</v>
      </c>
      <c r="F79" t="s">
        <v>33</v>
      </c>
      <c r="G79" t="str">
        <f t="shared" si="6"/>
        <v>星期四</v>
      </c>
      <c r="H79" t="str">
        <f t="shared" si="7"/>
        <v>工作日</v>
      </c>
    </row>
    <row r="80" spans="1:8" x14ac:dyDescent="0.15">
      <c r="A80" s="1">
        <v>45989</v>
      </c>
      <c r="B80" t="s">
        <v>9</v>
      </c>
      <c r="C80" t="s">
        <v>10</v>
      </c>
      <c r="D80">
        <v>1636</v>
      </c>
      <c r="E80">
        <v>1461</v>
      </c>
      <c r="F80" t="s">
        <v>37</v>
      </c>
      <c r="G80" t="str">
        <f t="shared" si="6"/>
        <v>星期五</v>
      </c>
      <c r="H80" t="str">
        <f t="shared" si="7"/>
        <v>工作日</v>
      </c>
    </row>
    <row r="81" spans="1:8" x14ac:dyDescent="0.15">
      <c r="A81" s="1">
        <v>45990</v>
      </c>
      <c r="B81" t="s">
        <v>9</v>
      </c>
      <c r="C81" t="s">
        <v>10</v>
      </c>
      <c r="D81">
        <v>1923</v>
      </c>
      <c r="E81">
        <v>959</v>
      </c>
      <c r="F81" t="s">
        <v>48</v>
      </c>
      <c r="G81" t="str">
        <f t="shared" si="6"/>
        <v>星期六</v>
      </c>
      <c r="H81" t="str">
        <f t="shared" si="7"/>
        <v>周末</v>
      </c>
    </row>
    <row r="82" spans="1:8" x14ac:dyDescent="0.15">
      <c r="A82" s="1">
        <v>45991</v>
      </c>
      <c r="B82" t="s">
        <v>9</v>
      </c>
      <c r="C82" t="s">
        <v>10</v>
      </c>
      <c r="D82">
        <v>1408</v>
      </c>
      <c r="E82">
        <v>1625</v>
      </c>
      <c r="F82" t="s">
        <v>48</v>
      </c>
      <c r="G82" t="str">
        <f t="shared" si="6"/>
        <v>星期日</v>
      </c>
      <c r="H82" t="str">
        <f t="shared" si="7"/>
        <v>周末</v>
      </c>
    </row>
    <row r="83" spans="1:8" x14ac:dyDescent="0.15">
      <c r="A83" s="1">
        <v>45992</v>
      </c>
      <c r="B83" t="s">
        <v>9</v>
      </c>
      <c r="C83" t="s">
        <v>10</v>
      </c>
      <c r="D83">
        <v>1681</v>
      </c>
      <c r="E83">
        <v>722</v>
      </c>
      <c r="F83" t="s">
        <v>48</v>
      </c>
      <c r="G83" t="str">
        <f t="shared" si="6"/>
        <v>星期一</v>
      </c>
      <c r="H83" t="str">
        <f t="shared" si="7"/>
        <v>工作日</v>
      </c>
    </row>
    <row r="84" spans="1:8" x14ac:dyDescent="0.15">
      <c r="A84" s="1">
        <v>45993</v>
      </c>
      <c r="B84" t="s">
        <v>9</v>
      </c>
      <c r="C84" t="s">
        <v>10</v>
      </c>
      <c r="D84">
        <v>1152</v>
      </c>
      <c r="E84">
        <v>910</v>
      </c>
      <c r="F84" t="s">
        <v>54</v>
      </c>
      <c r="G84" t="str">
        <f t="shared" si="6"/>
        <v>星期二</v>
      </c>
      <c r="H84" t="str">
        <f t="shared" si="7"/>
        <v>工作日</v>
      </c>
    </row>
    <row r="85" spans="1:8" x14ac:dyDescent="0.15">
      <c r="A85" s="1">
        <v>45994</v>
      </c>
      <c r="B85" t="s">
        <v>9</v>
      </c>
      <c r="C85" t="s">
        <v>10</v>
      </c>
      <c r="D85">
        <v>962</v>
      </c>
      <c r="E85">
        <v>1305</v>
      </c>
      <c r="F85" t="s">
        <v>55</v>
      </c>
      <c r="G85" t="str">
        <f t="shared" si="6"/>
        <v>星期三</v>
      </c>
      <c r="H85" t="str">
        <f t="shared" si="7"/>
        <v>工作日</v>
      </c>
    </row>
    <row r="86" spans="1:8" x14ac:dyDescent="0.15">
      <c r="A86" s="1">
        <v>45995</v>
      </c>
      <c r="B86" t="s">
        <v>9</v>
      </c>
      <c r="C86" t="s">
        <v>10</v>
      </c>
      <c r="D86">
        <v>1527</v>
      </c>
      <c r="E86">
        <v>1132</v>
      </c>
      <c r="F86" t="s">
        <v>56</v>
      </c>
      <c r="G86" t="str">
        <f t="shared" si="6"/>
        <v>星期四</v>
      </c>
      <c r="H86" t="str">
        <f t="shared" si="7"/>
        <v>工作日</v>
      </c>
    </row>
    <row r="87" spans="1:8" x14ac:dyDescent="0.15">
      <c r="A87" s="1">
        <v>45996</v>
      </c>
      <c r="B87" t="s">
        <v>9</v>
      </c>
      <c r="C87" t="s">
        <v>10</v>
      </c>
      <c r="D87">
        <v>1337</v>
      </c>
      <c r="E87">
        <v>1087</v>
      </c>
      <c r="F87" t="s">
        <v>57</v>
      </c>
      <c r="G87" t="str">
        <f t="shared" si="6"/>
        <v>星期五</v>
      </c>
      <c r="H87" t="str">
        <f t="shared" si="7"/>
        <v>工作日</v>
      </c>
    </row>
    <row r="88" spans="1:8" x14ac:dyDescent="0.15">
      <c r="A88" s="1">
        <v>45997</v>
      </c>
      <c r="B88" t="s">
        <v>9</v>
      </c>
      <c r="C88" t="s">
        <v>10</v>
      </c>
      <c r="D88">
        <v>1528</v>
      </c>
      <c r="E88">
        <v>636</v>
      </c>
      <c r="F88" t="s">
        <v>51</v>
      </c>
      <c r="G88" t="str">
        <f t="shared" si="6"/>
        <v>星期六</v>
      </c>
      <c r="H88" t="str">
        <f t="shared" si="7"/>
        <v>周末</v>
      </c>
    </row>
    <row r="89" spans="1:8" x14ac:dyDescent="0.15">
      <c r="A89" s="1">
        <v>45998</v>
      </c>
      <c r="B89" t="s">
        <v>9</v>
      </c>
      <c r="C89" t="s">
        <v>10</v>
      </c>
      <c r="D89">
        <v>1173</v>
      </c>
      <c r="E89">
        <v>662</v>
      </c>
      <c r="F89" t="s">
        <v>43</v>
      </c>
      <c r="G89" t="str">
        <f t="shared" si="6"/>
        <v>星期日</v>
      </c>
      <c r="H89" t="str">
        <f t="shared" si="7"/>
        <v>周末</v>
      </c>
    </row>
    <row r="90" spans="1:8" x14ac:dyDescent="0.15">
      <c r="A90" s="1">
        <v>45999</v>
      </c>
      <c r="B90" t="s">
        <v>9</v>
      </c>
      <c r="C90" t="s">
        <v>10</v>
      </c>
      <c r="D90">
        <v>1138</v>
      </c>
      <c r="E90">
        <v>832</v>
      </c>
      <c r="F90" t="s">
        <v>33</v>
      </c>
      <c r="G90" t="str">
        <f t="shared" si="6"/>
        <v>星期一</v>
      </c>
      <c r="H90" t="str">
        <f t="shared" si="7"/>
        <v>工作日</v>
      </c>
    </row>
    <row r="91" spans="1:8" x14ac:dyDescent="0.15">
      <c r="A91" s="1">
        <v>46000</v>
      </c>
      <c r="B91" t="s">
        <v>9</v>
      </c>
      <c r="C91" t="s">
        <v>10</v>
      </c>
      <c r="D91">
        <v>1098</v>
      </c>
      <c r="E91">
        <v>1727</v>
      </c>
      <c r="F91" t="s">
        <v>34</v>
      </c>
      <c r="G91" t="str">
        <f t="shared" si="6"/>
        <v>星期二</v>
      </c>
      <c r="H91" t="str">
        <f t="shared" si="7"/>
        <v>工作日</v>
      </c>
    </row>
    <row r="92" spans="1:8" x14ac:dyDescent="0.15">
      <c r="A92" s="1">
        <v>46001</v>
      </c>
      <c r="B92" t="s">
        <v>9</v>
      </c>
      <c r="C92" t="s">
        <v>10</v>
      </c>
      <c r="D92">
        <v>1753</v>
      </c>
      <c r="E92">
        <v>2231</v>
      </c>
      <c r="F92" t="s">
        <v>34</v>
      </c>
      <c r="G92" t="str">
        <f t="shared" si="6"/>
        <v>星期三</v>
      </c>
      <c r="H92" t="str">
        <f t="shared" si="7"/>
        <v>工作日</v>
      </c>
    </row>
    <row r="93" spans="1:8" x14ac:dyDescent="0.15">
      <c r="A93" s="1">
        <v>46002</v>
      </c>
      <c r="B93" t="s">
        <v>9</v>
      </c>
      <c r="C93" t="s">
        <v>10</v>
      </c>
      <c r="D93">
        <v>1781</v>
      </c>
      <c r="E93">
        <v>1823</v>
      </c>
      <c r="F93" t="s">
        <v>36</v>
      </c>
      <c r="G93" t="str">
        <f t="shared" si="6"/>
        <v>星期四</v>
      </c>
      <c r="H93" t="str">
        <f t="shared" si="7"/>
        <v>工作日</v>
      </c>
    </row>
    <row r="94" spans="1:8" x14ac:dyDescent="0.15">
      <c r="A94" s="1">
        <v>46003</v>
      </c>
      <c r="B94" t="s">
        <v>9</v>
      </c>
      <c r="C94" t="s">
        <v>10</v>
      </c>
      <c r="D94">
        <v>1876</v>
      </c>
      <c r="E94">
        <v>1451</v>
      </c>
      <c r="F94" t="s">
        <v>40</v>
      </c>
      <c r="G94" t="str">
        <f t="shared" si="6"/>
        <v>星期五</v>
      </c>
      <c r="H94" t="str">
        <f t="shared" si="7"/>
        <v>工作日</v>
      </c>
    </row>
    <row r="95" spans="1:8" x14ac:dyDescent="0.15">
      <c r="A95" s="1">
        <v>46004</v>
      </c>
      <c r="B95" t="s">
        <v>9</v>
      </c>
      <c r="C95" t="s">
        <v>10</v>
      </c>
      <c r="D95">
        <v>1689</v>
      </c>
      <c r="E95">
        <v>1376</v>
      </c>
      <c r="F95" t="s">
        <v>43</v>
      </c>
      <c r="G95" t="str">
        <f t="shared" si="6"/>
        <v>星期六</v>
      </c>
      <c r="H95" t="str">
        <f t="shared" si="7"/>
        <v>周末</v>
      </c>
    </row>
    <row r="96" spans="1:8" x14ac:dyDescent="0.15">
      <c r="A96" s="1">
        <v>46005</v>
      </c>
      <c r="B96" t="s">
        <v>9</v>
      </c>
      <c r="C96" t="s">
        <v>10</v>
      </c>
      <c r="D96">
        <v>1736</v>
      </c>
      <c r="E96">
        <v>2177</v>
      </c>
      <c r="F96" t="s">
        <v>58</v>
      </c>
      <c r="G96" t="str">
        <f t="shared" si="6"/>
        <v>星期日</v>
      </c>
      <c r="H96" t="str">
        <f t="shared" si="7"/>
        <v>周末</v>
      </c>
    </row>
    <row r="97" spans="1:8" x14ac:dyDescent="0.15">
      <c r="A97" s="1">
        <v>46006</v>
      </c>
      <c r="B97" t="s">
        <v>9</v>
      </c>
      <c r="C97" t="s">
        <v>10</v>
      </c>
      <c r="D97">
        <v>2245</v>
      </c>
      <c r="E97">
        <v>1793</v>
      </c>
      <c r="F97" t="s">
        <v>59</v>
      </c>
      <c r="G97" t="str">
        <f t="shared" si="6"/>
        <v>星期一</v>
      </c>
      <c r="H97" t="str">
        <f t="shared" si="7"/>
        <v>工作日</v>
      </c>
    </row>
    <row r="98" spans="1:8" x14ac:dyDescent="0.15">
      <c r="A98" s="1">
        <v>46007</v>
      </c>
      <c r="B98" t="s">
        <v>9</v>
      </c>
      <c r="C98" t="s">
        <v>10</v>
      </c>
      <c r="D98">
        <v>1906</v>
      </c>
      <c r="E98">
        <v>2124</v>
      </c>
      <c r="F98" t="s">
        <v>32</v>
      </c>
      <c r="G98" t="str">
        <f t="shared" si="6"/>
        <v>星期二</v>
      </c>
      <c r="H98" t="str">
        <f t="shared" si="7"/>
        <v>工作日</v>
      </c>
    </row>
    <row r="99" spans="1:8" x14ac:dyDescent="0.15">
      <c r="A99" s="1">
        <v>46008</v>
      </c>
      <c r="B99" t="s">
        <v>9</v>
      </c>
      <c r="C99" t="s">
        <v>10</v>
      </c>
      <c r="D99">
        <v>2232</v>
      </c>
      <c r="E99">
        <v>2380</v>
      </c>
      <c r="F99" t="s">
        <v>51</v>
      </c>
      <c r="G99" t="str">
        <f t="shared" ref="G99:G130" si="8">TEXT(A99,"aaaa")</f>
        <v>星期三</v>
      </c>
      <c r="H99" t="str">
        <f t="shared" ref="H99:H130" si="9">IF(OR(WEEKDAY(A99)=1,WEEKDAY(A99)=7),"周末","工作日")</f>
        <v>工作日</v>
      </c>
    </row>
    <row r="100" spans="1:8" x14ac:dyDescent="0.15">
      <c r="A100" s="1">
        <v>46009</v>
      </c>
      <c r="B100" t="s">
        <v>9</v>
      </c>
      <c r="C100" t="s">
        <v>10</v>
      </c>
      <c r="D100">
        <v>2657</v>
      </c>
      <c r="E100">
        <v>2294</v>
      </c>
      <c r="F100" t="s">
        <v>60</v>
      </c>
      <c r="G100" t="str">
        <f t="shared" si="8"/>
        <v>星期四</v>
      </c>
      <c r="H100" t="str">
        <f t="shared" si="9"/>
        <v>工作日</v>
      </c>
    </row>
    <row r="101" spans="1:8" x14ac:dyDescent="0.15">
      <c r="A101" s="1">
        <v>46010</v>
      </c>
      <c r="B101" t="s">
        <v>9</v>
      </c>
      <c r="C101" t="s">
        <v>10</v>
      </c>
      <c r="D101">
        <v>2330</v>
      </c>
      <c r="E101">
        <v>1437</v>
      </c>
      <c r="F101" t="s">
        <v>33</v>
      </c>
      <c r="G101" t="str">
        <f t="shared" si="8"/>
        <v>星期五</v>
      </c>
      <c r="H101" t="str">
        <f t="shared" si="9"/>
        <v>工作日</v>
      </c>
    </row>
    <row r="102" spans="1:8" x14ac:dyDescent="0.15">
      <c r="A102" s="1">
        <v>46011</v>
      </c>
      <c r="B102" t="s">
        <v>9</v>
      </c>
      <c r="C102" t="s">
        <v>10</v>
      </c>
      <c r="D102">
        <v>1510</v>
      </c>
      <c r="E102">
        <v>1726</v>
      </c>
      <c r="F102" t="s">
        <v>40</v>
      </c>
      <c r="G102" t="str">
        <f t="shared" si="8"/>
        <v>星期六</v>
      </c>
      <c r="H102" t="str">
        <f t="shared" si="9"/>
        <v>周末</v>
      </c>
    </row>
    <row r="103" spans="1:8" x14ac:dyDescent="0.15">
      <c r="A103" s="1">
        <v>46012</v>
      </c>
      <c r="B103" t="s">
        <v>9</v>
      </c>
      <c r="C103" t="s">
        <v>10</v>
      </c>
      <c r="D103">
        <v>2079</v>
      </c>
      <c r="E103">
        <v>1178</v>
      </c>
      <c r="F103" t="s">
        <v>51</v>
      </c>
      <c r="G103" t="str">
        <f t="shared" si="8"/>
        <v>星期日</v>
      </c>
      <c r="H103" t="str">
        <f t="shared" si="9"/>
        <v>周末</v>
      </c>
    </row>
    <row r="104" spans="1:8" x14ac:dyDescent="0.15">
      <c r="A104" s="1">
        <v>46013</v>
      </c>
      <c r="B104" t="s">
        <v>9</v>
      </c>
      <c r="C104" t="s">
        <v>10</v>
      </c>
      <c r="D104">
        <v>1160</v>
      </c>
      <c r="E104">
        <v>1304</v>
      </c>
      <c r="F104" t="s">
        <v>61</v>
      </c>
      <c r="G104" t="str">
        <f t="shared" si="8"/>
        <v>星期一</v>
      </c>
      <c r="H104" t="str">
        <f t="shared" si="9"/>
        <v>工作日</v>
      </c>
    </row>
    <row r="105" spans="1:8" x14ac:dyDescent="0.15">
      <c r="A105" s="1">
        <v>46014</v>
      </c>
      <c r="B105" t="s">
        <v>9</v>
      </c>
      <c r="C105" t="s">
        <v>10</v>
      </c>
      <c r="F105" t="s">
        <v>55</v>
      </c>
      <c r="G105" t="str">
        <f t="shared" si="8"/>
        <v>星期二</v>
      </c>
      <c r="H105" t="str">
        <f t="shared" si="9"/>
        <v>工作日</v>
      </c>
    </row>
    <row r="106" spans="1:8" x14ac:dyDescent="0.15">
      <c r="A106" s="1">
        <v>46015</v>
      </c>
      <c r="B106" t="s">
        <v>9</v>
      </c>
      <c r="C106" t="s">
        <v>10</v>
      </c>
      <c r="D106">
        <v>935</v>
      </c>
      <c r="E106">
        <v>1842</v>
      </c>
      <c r="F106" t="s">
        <v>62</v>
      </c>
      <c r="G106" t="str">
        <f t="shared" si="8"/>
        <v>星期三</v>
      </c>
      <c r="H106" t="str">
        <f t="shared" si="9"/>
        <v>工作日</v>
      </c>
    </row>
    <row r="107" spans="1:8" x14ac:dyDescent="0.15">
      <c r="A107" s="1">
        <v>46016</v>
      </c>
      <c r="B107" t="s">
        <v>9</v>
      </c>
      <c r="C107" t="s">
        <v>10</v>
      </c>
      <c r="D107">
        <v>1940</v>
      </c>
      <c r="E107">
        <v>3033</v>
      </c>
      <c r="F107" t="s">
        <v>63</v>
      </c>
      <c r="G107" t="str">
        <f t="shared" si="8"/>
        <v>星期四</v>
      </c>
      <c r="H107" t="str">
        <f t="shared" si="9"/>
        <v>工作日</v>
      </c>
    </row>
    <row r="108" spans="1:8" x14ac:dyDescent="0.15">
      <c r="A108" s="1">
        <v>46017</v>
      </c>
      <c r="B108" t="s">
        <v>9</v>
      </c>
      <c r="C108" t="s">
        <v>10</v>
      </c>
      <c r="D108">
        <v>2853</v>
      </c>
      <c r="E108">
        <v>1454</v>
      </c>
      <c r="F108" t="s">
        <v>63</v>
      </c>
      <c r="G108" t="str">
        <f t="shared" si="8"/>
        <v>星期五</v>
      </c>
      <c r="H108" t="str">
        <f t="shared" si="9"/>
        <v>工作日</v>
      </c>
    </row>
    <row r="109" spans="1:8" x14ac:dyDescent="0.15">
      <c r="A109" s="1">
        <v>46018</v>
      </c>
      <c r="B109" t="s">
        <v>9</v>
      </c>
      <c r="C109" t="s">
        <v>10</v>
      </c>
      <c r="D109">
        <v>1590</v>
      </c>
      <c r="E109">
        <v>774</v>
      </c>
      <c r="F109" t="s">
        <v>50</v>
      </c>
      <c r="G109" t="str">
        <f t="shared" si="8"/>
        <v>星期六</v>
      </c>
      <c r="H109" t="str">
        <f t="shared" si="9"/>
        <v>周末</v>
      </c>
    </row>
    <row r="110" spans="1:8" x14ac:dyDescent="0.15">
      <c r="A110" s="1">
        <v>46019</v>
      </c>
      <c r="B110" t="s">
        <v>9</v>
      </c>
      <c r="C110" t="s">
        <v>10</v>
      </c>
      <c r="D110">
        <v>1210</v>
      </c>
      <c r="E110">
        <v>1646</v>
      </c>
      <c r="F110" t="s">
        <v>60</v>
      </c>
      <c r="G110" t="str">
        <f t="shared" si="8"/>
        <v>星期日</v>
      </c>
      <c r="H110" t="str">
        <f t="shared" si="9"/>
        <v>周末</v>
      </c>
    </row>
    <row r="111" spans="1:8" x14ac:dyDescent="0.15">
      <c r="A111" s="1">
        <v>46020</v>
      </c>
      <c r="B111" t="s">
        <v>9</v>
      </c>
      <c r="C111" t="s">
        <v>10</v>
      </c>
      <c r="D111">
        <v>1844</v>
      </c>
      <c r="E111">
        <v>2020</v>
      </c>
      <c r="F111" t="s">
        <v>57</v>
      </c>
      <c r="G111" t="str">
        <f t="shared" si="8"/>
        <v>星期一</v>
      </c>
      <c r="H111" t="str">
        <f t="shared" si="9"/>
        <v>工作日</v>
      </c>
    </row>
    <row r="112" spans="1:8" x14ac:dyDescent="0.15">
      <c r="A112" s="1">
        <v>46021</v>
      </c>
      <c r="B112" t="s">
        <v>9</v>
      </c>
      <c r="C112" t="s">
        <v>10</v>
      </c>
      <c r="D112">
        <v>2049</v>
      </c>
      <c r="E112">
        <v>586</v>
      </c>
      <c r="F112" t="s">
        <v>61</v>
      </c>
      <c r="G112" t="str">
        <f t="shared" si="8"/>
        <v>星期二</v>
      </c>
      <c r="H112" t="str">
        <f t="shared" si="9"/>
        <v>工作日</v>
      </c>
    </row>
    <row r="113" spans="1:8" x14ac:dyDescent="0.15">
      <c r="A113" s="1">
        <v>46022</v>
      </c>
      <c r="B113" t="s">
        <v>9</v>
      </c>
      <c r="C113" t="s">
        <v>10</v>
      </c>
      <c r="D113">
        <v>1131</v>
      </c>
      <c r="E113">
        <v>1253</v>
      </c>
      <c r="F113" t="s">
        <v>43</v>
      </c>
      <c r="G113" t="str">
        <f t="shared" si="8"/>
        <v>星期三</v>
      </c>
      <c r="H113" t="str">
        <f t="shared" si="9"/>
        <v>工作日</v>
      </c>
    </row>
    <row r="114" spans="1:8" x14ac:dyDescent="0.15">
      <c r="A114" s="1">
        <v>46023</v>
      </c>
      <c r="B114" t="s">
        <v>9</v>
      </c>
      <c r="C114" t="s">
        <v>10</v>
      </c>
      <c r="D114">
        <v>1400</v>
      </c>
      <c r="E114">
        <v>1227</v>
      </c>
      <c r="F114" t="s">
        <v>61</v>
      </c>
      <c r="G114" t="str">
        <f t="shared" si="8"/>
        <v>星期四</v>
      </c>
      <c r="H114" t="str">
        <f t="shared" si="9"/>
        <v>工作日</v>
      </c>
    </row>
    <row r="115" spans="1:8" x14ac:dyDescent="0.15">
      <c r="A115" s="1">
        <v>46024</v>
      </c>
      <c r="B115" t="s">
        <v>9</v>
      </c>
      <c r="C115" t="s">
        <v>10</v>
      </c>
      <c r="D115">
        <v>1757</v>
      </c>
      <c r="E115">
        <v>380</v>
      </c>
      <c r="F115" t="s">
        <v>64</v>
      </c>
      <c r="G115" t="str">
        <f t="shared" si="8"/>
        <v>星期五</v>
      </c>
      <c r="H115" t="str">
        <f t="shared" si="9"/>
        <v>工作日</v>
      </c>
    </row>
    <row r="116" spans="1:8" x14ac:dyDescent="0.15">
      <c r="A116" s="1">
        <v>46025</v>
      </c>
      <c r="B116" t="s">
        <v>9</v>
      </c>
      <c r="C116" t="s">
        <v>10</v>
      </c>
      <c r="D116">
        <v>707</v>
      </c>
      <c r="E116">
        <v>343</v>
      </c>
      <c r="F116" t="s">
        <v>65</v>
      </c>
      <c r="G116" t="str">
        <f t="shared" si="8"/>
        <v>星期六</v>
      </c>
      <c r="H116" t="str">
        <f t="shared" si="9"/>
        <v>周末</v>
      </c>
    </row>
    <row r="117" spans="1:8" x14ac:dyDescent="0.15">
      <c r="A117" s="1">
        <v>46026</v>
      </c>
      <c r="B117" t="s">
        <v>9</v>
      </c>
      <c r="C117" t="s">
        <v>10</v>
      </c>
      <c r="D117">
        <v>394</v>
      </c>
      <c r="E117">
        <v>149</v>
      </c>
      <c r="F117" t="s">
        <v>66</v>
      </c>
      <c r="G117" t="str">
        <f t="shared" si="8"/>
        <v>星期日</v>
      </c>
      <c r="H117" t="str">
        <f t="shared" si="9"/>
        <v>周末</v>
      </c>
    </row>
    <row r="118" spans="1:8" x14ac:dyDescent="0.15">
      <c r="A118" s="1">
        <v>46027</v>
      </c>
      <c r="B118" t="s">
        <v>9</v>
      </c>
      <c r="C118" t="s">
        <v>10</v>
      </c>
      <c r="D118">
        <v>231</v>
      </c>
      <c r="E118">
        <v>232</v>
      </c>
      <c r="F118" t="s">
        <v>56</v>
      </c>
      <c r="G118" t="str">
        <f t="shared" si="8"/>
        <v>星期一</v>
      </c>
      <c r="H118" t="str">
        <f t="shared" si="9"/>
        <v>工作日</v>
      </c>
    </row>
    <row r="119" spans="1:8" x14ac:dyDescent="0.15">
      <c r="A119" s="1">
        <v>46028</v>
      </c>
      <c r="B119" t="s">
        <v>9</v>
      </c>
      <c r="C119" t="s">
        <v>10</v>
      </c>
      <c r="D119">
        <v>347</v>
      </c>
      <c r="E119">
        <v>324</v>
      </c>
      <c r="F119" t="s">
        <v>65</v>
      </c>
      <c r="G119" t="str">
        <f t="shared" si="8"/>
        <v>星期二</v>
      </c>
      <c r="H119" t="str">
        <f t="shared" si="9"/>
        <v>工作日</v>
      </c>
    </row>
    <row r="120" spans="1:8" x14ac:dyDescent="0.15">
      <c r="A120" s="1">
        <v>46029</v>
      </c>
      <c r="B120" t="s">
        <v>9</v>
      </c>
      <c r="C120" t="s">
        <v>10</v>
      </c>
      <c r="D120">
        <v>411</v>
      </c>
      <c r="E120">
        <v>514</v>
      </c>
      <c r="F120" t="s">
        <v>49</v>
      </c>
      <c r="G120" t="str">
        <f t="shared" si="8"/>
        <v>星期三</v>
      </c>
      <c r="H120" t="str">
        <f t="shared" si="9"/>
        <v>工作日</v>
      </c>
    </row>
    <row r="121" spans="1:8" x14ac:dyDescent="0.15">
      <c r="A121" s="1">
        <v>46030</v>
      </c>
      <c r="B121" t="s">
        <v>9</v>
      </c>
      <c r="C121" t="s">
        <v>10</v>
      </c>
      <c r="D121">
        <v>595</v>
      </c>
      <c r="E121">
        <v>351</v>
      </c>
      <c r="F121" t="s">
        <v>49</v>
      </c>
      <c r="G121" t="str">
        <f t="shared" si="8"/>
        <v>星期四</v>
      </c>
      <c r="H121" t="str">
        <f t="shared" si="9"/>
        <v>工作日</v>
      </c>
    </row>
    <row r="122" spans="1:8" x14ac:dyDescent="0.15">
      <c r="A122" s="1">
        <v>46031</v>
      </c>
      <c r="B122" t="s">
        <v>9</v>
      </c>
      <c r="C122" t="s">
        <v>10</v>
      </c>
      <c r="D122">
        <v>400</v>
      </c>
      <c r="E122">
        <v>841</v>
      </c>
      <c r="F122" t="s">
        <v>50</v>
      </c>
      <c r="G122" t="str">
        <f t="shared" si="8"/>
        <v>星期五</v>
      </c>
      <c r="H122" t="str">
        <f t="shared" si="9"/>
        <v>工作日</v>
      </c>
    </row>
    <row r="123" spans="1:8" x14ac:dyDescent="0.15">
      <c r="A123" s="1">
        <v>46032</v>
      </c>
      <c r="B123" t="s">
        <v>9</v>
      </c>
      <c r="C123" t="s">
        <v>10</v>
      </c>
      <c r="D123">
        <v>891</v>
      </c>
      <c r="E123">
        <v>494</v>
      </c>
      <c r="F123" t="s">
        <v>51</v>
      </c>
      <c r="G123" t="str">
        <f t="shared" si="8"/>
        <v>星期六</v>
      </c>
      <c r="H123" t="str">
        <f t="shared" si="9"/>
        <v>周末</v>
      </c>
    </row>
    <row r="124" spans="1:8" x14ac:dyDescent="0.15">
      <c r="A124" s="1">
        <v>46033</v>
      </c>
      <c r="B124" t="s">
        <v>9</v>
      </c>
      <c r="C124" t="s">
        <v>10</v>
      </c>
      <c r="D124">
        <v>679</v>
      </c>
      <c r="E124">
        <v>255</v>
      </c>
      <c r="F124" t="s">
        <v>67</v>
      </c>
      <c r="G124" t="str">
        <f t="shared" si="8"/>
        <v>星期日</v>
      </c>
      <c r="H124" t="str">
        <f t="shared" si="9"/>
        <v>周末</v>
      </c>
    </row>
    <row r="125" spans="1:8" x14ac:dyDescent="0.15">
      <c r="A125" s="1">
        <v>46034</v>
      </c>
      <c r="B125" t="s">
        <v>9</v>
      </c>
      <c r="C125" t="s">
        <v>10</v>
      </c>
      <c r="D125">
        <v>319</v>
      </c>
      <c r="E125">
        <v>421</v>
      </c>
      <c r="F125" t="s">
        <v>68</v>
      </c>
      <c r="G125" t="str">
        <f t="shared" si="8"/>
        <v>星期一</v>
      </c>
      <c r="H125" t="str">
        <f t="shared" si="9"/>
        <v>工作日</v>
      </c>
    </row>
    <row r="126" spans="1:8" x14ac:dyDescent="0.15">
      <c r="A126" s="1">
        <v>46035</v>
      </c>
      <c r="B126" t="s">
        <v>9</v>
      </c>
      <c r="C126" t="s">
        <v>10</v>
      </c>
      <c r="D126">
        <v>457</v>
      </c>
      <c r="E126">
        <v>349</v>
      </c>
      <c r="F126" t="s">
        <v>69</v>
      </c>
      <c r="G126" t="str">
        <f t="shared" si="8"/>
        <v>星期二</v>
      </c>
      <c r="H126" t="str">
        <f t="shared" si="9"/>
        <v>工作日</v>
      </c>
    </row>
    <row r="127" spans="1:8" x14ac:dyDescent="0.15">
      <c r="A127" s="1">
        <v>46036</v>
      </c>
      <c r="B127" t="s">
        <v>9</v>
      </c>
      <c r="C127" t="s">
        <v>10</v>
      </c>
      <c r="D127">
        <v>525</v>
      </c>
      <c r="E127">
        <v>410</v>
      </c>
      <c r="F127" t="s">
        <v>33</v>
      </c>
      <c r="G127" t="str">
        <f t="shared" si="8"/>
        <v>星期三</v>
      </c>
      <c r="H127" t="str">
        <f t="shared" si="9"/>
        <v>工作日</v>
      </c>
    </row>
    <row r="128" spans="1:8" x14ac:dyDescent="0.15">
      <c r="A128" s="1">
        <v>46037</v>
      </c>
      <c r="B128" t="s">
        <v>9</v>
      </c>
      <c r="C128" t="s">
        <v>10</v>
      </c>
      <c r="D128">
        <v>525</v>
      </c>
      <c r="E128">
        <v>248</v>
      </c>
      <c r="F128" t="s">
        <v>46</v>
      </c>
      <c r="G128" t="str">
        <f t="shared" si="8"/>
        <v>星期四</v>
      </c>
      <c r="H128" t="str">
        <f t="shared" si="9"/>
        <v>工作日</v>
      </c>
    </row>
    <row r="129" spans="1:8" x14ac:dyDescent="0.15">
      <c r="A129" s="1">
        <v>46038</v>
      </c>
      <c r="B129" t="s">
        <v>9</v>
      </c>
      <c r="C129" t="s">
        <v>10</v>
      </c>
      <c r="D129">
        <v>354</v>
      </c>
      <c r="E129">
        <v>838</v>
      </c>
      <c r="F129" t="s">
        <v>41</v>
      </c>
      <c r="G129" t="str">
        <f t="shared" si="8"/>
        <v>星期五</v>
      </c>
      <c r="H129" t="str">
        <f t="shared" si="9"/>
        <v>工作日</v>
      </c>
    </row>
    <row r="130" spans="1:8" x14ac:dyDescent="0.15">
      <c r="A130" s="1">
        <v>46039</v>
      </c>
      <c r="B130" t="s">
        <v>9</v>
      </c>
      <c r="C130" t="s">
        <v>10</v>
      </c>
      <c r="D130">
        <v>951</v>
      </c>
      <c r="E130">
        <v>419</v>
      </c>
      <c r="F130" t="s">
        <v>40</v>
      </c>
      <c r="G130" t="str">
        <f t="shared" si="8"/>
        <v>星期六</v>
      </c>
      <c r="H130" t="str">
        <f t="shared" si="9"/>
        <v>周末</v>
      </c>
    </row>
    <row r="131" spans="1:8" x14ac:dyDescent="0.15">
      <c r="A131" s="1">
        <v>46040</v>
      </c>
      <c r="B131" t="s">
        <v>9</v>
      </c>
      <c r="C131" t="s">
        <v>10</v>
      </c>
      <c r="D131">
        <v>719</v>
      </c>
      <c r="E131">
        <v>418</v>
      </c>
      <c r="F131" t="s">
        <v>31</v>
      </c>
      <c r="G131" t="str">
        <f t="shared" ref="G131:G147" si="10">TEXT(A131,"aaaa")</f>
        <v>星期日</v>
      </c>
      <c r="H131" t="str">
        <f t="shared" ref="H131:H162" si="11">IF(OR(WEEKDAY(A131)=1,WEEKDAY(A131)=7),"周末","工作日")</f>
        <v>周末</v>
      </c>
    </row>
    <row r="132" spans="1:8" x14ac:dyDescent="0.15">
      <c r="A132" s="1">
        <v>46041</v>
      </c>
      <c r="B132" t="s">
        <v>9</v>
      </c>
      <c r="C132" t="s">
        <v>10</v>
      </c>
      <c r="D132">
        <v>382</v>
      </c>
      <c r="E132">
        <v>462</v>
      </c>
      <c r="F132" t="s">
        <v>33</v>
      </c>
      <c r="G132" t="str">
        <f t="shared" si="10"/>
        <v>星期一</v>
      </c>
      <c r="H132" t="str">
        <f t="shared" si="11"/>
        <v>工作日</v>
      </c>
    </row>
    <row r="133" spans="1:8" x14ac:dyDescent="0.15">
      <c r="A133" s="1">
        <v>46042</v>
      </c>
      <c r="B133" t="s">
        <v>9</v>
      </c>
      <c r="C133" t="s">
        <v>10</v>
      </c>
      <c r="D133">
        <v>425</v>
      </c>
      <c r="E133">
        <v>308</v>
      </c>
      <c r="F133" t="s">
        <v>42</v>
      </c>
      <c r="G133" t="str">
        <f t="shared" si="10"/>
        <v>星期二</v>
      </c>
      <c r="H133" t="str">
        <f t="shared" si="11"/>
        <v>工作日</v>
      </c>
    </row>
    <row r="134" spans="1:8" x14ac:dyDescent="0.15">
      <c r="A134" s="1">
        <v>46043</v>
      </c>
      <c r="B134" t="s">
        <v>9</v>
      </c>
      <c r="C134" t="s">
        <v>10</v>
      </c>
      <c r="D134">
        <v>367</v>
      </c>
      <c r="E134">
        <v>379</v>
      </c>
      <c r="F134" t="s">
        <v>70</v>
      </c>
      <c r="G134" t="str">
        <f t="shared" si="10"/>
        <v>星期三</v>
      </c>
      <c r="H134" t="str">
        <f t="shared" si="11"/>
        <v>工作日</v>
      </c>
    </row>
    <row r="135" spans="1:8" x14ac:dyDescent="0.15">
      <c r="A135" s="1">
        <v>46044</v>
      </c>
      <c r="B135" t="s">
        <v>9</v>
      </c>
      <c r="C135" t="s">
        <v>10</v>
      </c>
      <c r="D135">
        <v>456</v>
      </c>
      <c r="E135">
        <v>292</v>
      </c>
      <c r="F135" t="s">
        <v>71</v>
      </c>
      <c r="G135" t="str">
        <f t="shared" si="10"/>
        <v>星期四</v>
      </c>
      <c r="H135" t="str">
        <f t="shared" si="11"/>
        <v>工作日</v>
      </c>
    </row>
    <row r="136" spans="1:8" x14ac:dyDescent="0.15">
      <c r="A136" s="1">
        <v>46045</v>
      </c>
      <c r="B136" t="s">
        <v>9</v>
      </c>
      <c r="C136" t="s">
        <v>10</v>
      </c>
      <c r="D136">
        <v>618</v>
      </c>
      <c r="E136">
        <v>563</v>
      </c>
      <c r="F136" t="s">
        <v>72</v>
      </c>
      <c r="G136" t="str">
        <f t="shared" si="10"/>
        <v>星期五</v>
      </c>
      <c r="H136" t="str">
        <f t="shared" si="11"/>
        <v>工作日</v>
      </c>
    </row>
    <row r="137" spans="1:8" x14ac:dyDescent="0.15">
      <c r="A137" s="1">
        <v>46046</v>
      </c>
      <c r="B137" t="s">
        <v>9</v>
      </c>
      <c r="C137" t="s">
        <v>10</v>
      </c>
      <c r="D137">
        <v>723</v>
      </c>
      <c r="E137">
        <v>302</v>
      </c>
      <c r="F137" t="s">
        <v>63</v>
      </c>
      <c r="G137" t="str">
        <f t="shared" si="10"/>
        <v>星期六</v>
      </c>
      <c r="H137" t="str">
        <f t="shared" si="11"/>
        <v>周末</v>
      </c>
    </row>
    <row r="138" spans="1:8" x14ac:dyDescent="0.15">
      <c r="A138" s="1">
        <v>46047</v>
      </c>
      <c r="B138" t="s">
        <v>9</v>
      </c>
      <c r="C138" t="s">
        <v>10</v>
      </c>
      <c r="D138">
        <v>453</v>
      </c>
      <c r="E138">
        <v>349</v>
      </c>
      <c r="F138" t="s">
        <v>73</v>
      </c>
      <c r="G138" t="str">
        <f t="shared" si="10"/>
        <v>星期日</v>
      </c>
      <c r="H138" t="str">
        <f t="shared" si="11"/>
        <v>周末</v>
      </c>
    </row>
    <row r="139" spans="1:8" x14ac:dyDescent="0.15">
      <c r="A139" s="1">
        <v>46048</v>
      </c>
      <c r="B139" t="s">
        <v>9</v>
      </c>
      <c r="C139" t="s">
        <v>10</v>
      </c>
      <c r="D139">
        <v>419</v>
      </c>
      <c r="E139">
        <v>439</v>
      </c>
      <c r="F139" t="s">
        <v>74</v>
      </c>
      <c r="G139" t="str">
        <f t="shared" si="10"/>
        <v>星期一</v>
      </c>
      <c r="H139" t="str">
        <f t="shared" si="11"/>
        <v>工作日</v>
      </c>
    </row>
    <row r="140" spans="1:8" x14ac:dyDescent="0.15">
      <c r="A140" s="1">
        <v>46049</v>
      </c>
      <c r="B140" t="s">
        <v>9</v>
      </c>
      <c r="C140" t="s">
        <v>10</v>
      </c>
      <c r="F140" t="s">
        <v>65</v>
      </c>
      <c r="G140" t="str">
        <f t="shared" si="10"/>
        <v>星期二</v>
      </c>
      <c r="H140" t="str">
        <f t="shared" si="11"/>
        <v>工作日</v>
      </c>
    </row>
    <row r="141" spans="1:8" x14ac:dyDescent="0.15">
      <c r="A141" s="1">
        <v>46050</v>
      </c>
      <c r="B141" t="s">
        <v>9</v>
      </c>
      <c r="C141" t="s">
        <v>10</v>
      </c>
      <c r="F141" t="s">
        <v>67</v>
      </c>
      <c r="G141" t="str">
        <f t="shared" si="10"/>
        <v>星期三</v>
      </c>
      <c r="H141" t="str">
        <f t="shared" si="11"/>
        <v>工作日</v>
      </c>
    </row>
    <row r="142" spans="1:8" x14ac:dyDescent="0.15">
      <c r="A142" s="1">
        <v>46051</v>
      </c>
      <c r="B142" t="s">
        <v>9</v>
      </c>
      <c r="C142" t="s">
        <v>10</v>
      </c>
      <c r="F142" t="s">
        <v>51</v>
      </c>
      <c r="G142" t="str">
        <f t="shared" si="10"/>
        <v>星期四</v>
      </c>
      <c r="H142" t="str">
        <f t="shared" si="11"/>
        <v>工作日</v>
      </c>
    </row>
    <row r="143" spans="1:8" x14ac:dyDescent="0.15">
      <c r="A143" s="1">
        <v>46052</v>
      </c>
      <c r="B143" t="s">
        <v>9</v>
      </c>
      <c r="C143" t="s">
        <v>10</v>
      </c>
      <c r="D143">
        <v>507</v>
      </c>
      <c r="E143">
        <v>539</v>
      </c>
      <c r="F143" t="s">
        <v>42</v>
      </c>
      <c r="G143" t="str">
        <f t="shared" si="10"/>
        <v>星期五</v>
      </c>
      <c r="H143" t="str">
        <f t="shared" si="11"/>
        <v>工作日</v>
      </c>
    </row>
    <row r="144" spans="1:8" x14ac:dyDescent="0.15">
      <c r="A144" s="1">
        <v>46053</v>
      </c>
      <c r="B144" t="s">
        <v>9</v>
      </c>
      <c r="C144" t="s">
        <v>10</v>
      </c>
      <c r="D144">
        <v>677</v>
      </c>
      <c r="E144">
        <v>487</v>
      </c>
      <c r="F144" t="s">
        <v>56</v>
      </c>
      <c r="G144" t="str">
        <f t="shared" si="10"/>
        <v>星期六</v>
      </c>
      <c r="H144" t="str">
        <f t="shared" si="11"/>
        <v>周末</v>
      </c>
    </row>
    <row r="145" spans="1:8" x14ac:dyDescent="0.15">
      <c r="A145" s="1">
        <v>46054</v>
      </c>
      <c r="B145" t="s">
        <v>9</v>
      </c>
      <c r="C145" t="s">
        <v>10</v>
      </c>
      <c r="D145">
        <v>636</v>
      </c>
      <c r="E145">
        <v>647</v>
      </c>
      <c r="F145" t="s">
        <v>74</v>
      </c>
      <c r="G145" t="str">
        <f t="shared" si="10"/>
        <v>星期日</v>
      </c>
      <c r="H145" t="str">
        <f t="shared" si="11"/>
        <v>周末</v>
      </c>
    </row>
    <row r="146" spans="1:8" x14ac:dyDescent="0.15">
      <c r="A146" s="1">
        <v>46055</v>
      </c>
      <c r="B146" t="s">
        <v>9</v>
      </c>
      <c r="C146" t="s">
        <v>10</v>
      </c>
      <c r="D146">
        <v>816</v>
      </c>
      <c r="E146">
        <v>527</v>
      </c>
      <c r="F146" t="s">
        <v>61</v>
      </c>
      <c r="G146" t="str">
        <f t="shared" si="10"/>
        <v>星期一</v>
      </c>
      <c r="H146" t="str">
        <f t="shared" si="11"/>
        <v>工作日</v>
      </c>
    </row>
    <row r="147" spans="1:8" x14ac:dyDescent="0.15">
      <c r="A147" s="1">
        <v>46056</v>
      </c>
      <c r="B147" t="s">
        <v>9</v>
      </c>
      <c r="C147" t="s">
        <v>10</v>
      </c>
      <c r="D147">
        <v>698</v>
      </c>
      <c r="E147">
        <v>665</v>
      </c>
      <c r="F147" t="s">
        <v>50</v>
      </c>
      <c r="G147" t="str">
        <f t="shared" si="10"/>
        <v>星期二</v>
      </c>
      <c r="H147" t="str">
        <f t="shared" si="11"/>
        <v>工作日</v>
      </c>
    </row>
    <row r="148" spans="1:8" x14ac:dyDescent="0.15">
      <c r="A148" s="1">
        <v>46057</v>
      </c>
      <c r="B148" t="s">
        <v>9</v>
      </c>
      <c r="C148" t="s">
        <v>10</v>
      </c>
      <c r="D148">
        <v>770</v>
      </c>
      <c r="E148">
        <v>603</v>
      </c>
      <c r="F148" t="s">
        <v>46</v>
      </c>
      <c r="G148" t="str">
        <f t="shared" ref="G148:G181" si="12">TEXT(A148,"aaaa")</f>
        <v>星期三</v>
      </c>
      <c r="H148" t="str">
        <f t="shared" si="11"/>
        <v>工作日</v>
      </c>
    </row>
    <row r="149" spans="1:8" x14ac:dyDescent="0.15">
      <c r="A149" s="1">
        <v>46058</v>
      </c>
      <c r="B149" t="s">
        <v>9</v>
      </c>
      <c r="C149" t="s">
        <v>10</v>
      </c>
      <c r="D149">
        <v>708</v>
      </c>
      <c r="E149">
        <v>656</v>
      </c>
      <c r="F149" t="s">
        <v>36</v>
      </c>
      <c r="G149" t="str">
        <f t="shared" si="12"/>
        <v>星期四</v>
      </c>
      <c r="H149" t="str">
        <f t="shared" si="11"/>
        <v>工作日</v>
      </c>
    </row>
    <row r="150" spans="1:8" x14ac:dyDescent="0.15">
      <c r="A150" s="1">
        <v>46059</v>
      </c>
      <c r="B150" t="s">
        <v>9</v>
      </c>
      <c r="C150" t="s">
        <v>10</v>
      </c>
      <c r="D150">
        <v>723</v>
      </c>
      <c r="E150">
        <v>498</v>
      </c>
      <c r="F150" t="s">
        <v>67</v>
      </c>
      <c r="G150" t="str">
        <f t="shared" si="12"/>
        <v>星期五</v>
      </c>
      <c r="H150" t="str">
        <f t="shared" si="11"/>
        <v>工作日</v>
      </c>
    </row>
    <row r="151" spans="1:8" x14ac:dyDescent="0.15">
      <c r="A151" s="1">
        <v>46060</v>
      </c>
      <c r="B151" t="s">
        <v>9</v>
      </c>
      <c r="C151" t="s">
        <v>10</v>
      </c>
      <c r="F151" t="s">
        <v>75</v>
      </c>
      <c r="G151" t="str">
        <f t="shared" si="12"/>
        <v>星期六</v>
      </c>
      <c r="H151" t="str">
        <f t="shared" si="11"/>
        <v>周末</v>
      </c>
    </row>
    <row r="152" spans="1:8" x14ac:dyDescent="0.15">
      <c r="A152" s="1">
        <v>46061</v>
      </c>
      <c r="B152" t="s">
        <v>9</v>
      </c>
      <c r="C152" t="s">
        <v>10</v>
      </c>
      <c r="D152">
        <v>754</v>
      </c>
      <c r="E152">
        <v>577</v>
      </c>
      <c r="F152" t="s">
        <v>64</v>
      </c>
      <c r="G152" t="str">
        <f t="shared" si="12"/>
        <v>星期日</v>
      </c>
      <c r="H152" t="str">
        <f t="shared" si="11"/>
        <v>周末</v>
      </c>
    </row>
    <row r="153" spans="1:8" x14ac:dyDescent="0.15">
      <c r="A153" s="1">
        <v>46062</v>
      </c>
      <c r="B153" t="s">
        <v>9</v>
      </c>
      <c r="C153" t="s">
        <v>10</v>
      </c>
      <c r="D153">
        <v>843</v>
      </c>
      <c r="E153">
        <v>609</v>
      </c>
      <c r="F153" t="s">
        <v>65</v>
      </c>
      <c r="G153" t="str">
        <f t="shared" si="12"/>
        <v>星期一</v>
      </c>
      <c r="H153" t="str">
        <f t="shared" si="11"/>
        <v>工作日</v>
      </c>
    </row>
    <row r="154" spans="1:8" x14ac:dyDescent="0.15">
      <c r="A154" s="1">
        <v>46063</v>
      </c>
      <c r="B154" t="s">
        <v>9</v>
      </c>
      <c r="C154" t="s">
        <v>10</v>
      </c>
      <c r="D154">
        <v>773</v>
      </c>
      <c r="E154">
        <v>592</v>
      </c>
      <c r="F154" t="s">
        <v>76</v>
      </c>
      <c r="G154" t="str">
        <f t="shared" si="12"/>
        <v>星期二</v>
      </c>
      <c r="H154" t="str">
        <f t="shared" si="11"/>
        <v>工作日</v>
      </c>
    </row>
    <row r="155" spans="1:8" x14ac:dyDescent="0.15">
      <c r="A155" s="1">
        <v>46064</v>
      </c>
      <c r="B155" t="s">
        <v>9</v>
      </c>
      <c r="C155" t="s">
        <v>10</v>
      </c>
      <c r="D155">
        <v>836</v>
      </c>
      <c r="E155">
        <v>843</v>
      </c>
      <c r="F155" t="s">
        <v>45</v>
      </c>
      <c r="G155" t="str">
        <f t="shared" si="12"/>
        <v>星期三</v>
      </c>
      <c r="H155" t="str">
        <f t="shared" si="11"/>
        <v>工作日</v>
      </c>
    </row>
    <row r="156" spans="1:8" x14ac:dyDescent="0.15">
      <c r="A156" s="1">
        <v>46065</v>
      </c>
      <c r="B156" t="s">
        <v>9</v>
      </c>
      <c r="C156" t="s">
        <v>10</v>
      </c>
      <c r="D156">
        <v>1048</v>
      </c>
      <c r="E156">
        <v>596</v>
      </c>
      <c r="F156" t="s">
        <v>43</v>
      </c>
      <c r="G156" t="str">
        <f t="shared" si="12"/>
        <v>星期四</v>
      </c>
      <c r="H156" t="str">
        <f t="shared" si="11"/>
        <v>工作日</v>
      </c>
    </row>
    <row r="157" spans="1:8" x14ac:dyDescent="0.15">
      <c r="A157" s="1">
        <v>46066</v>
      </c>
      <c r="B157" t="s">
        <v>9</v>
      </c>
      <c r="C157" t="s">
        <v>10</v>
      </c>
      <c r="D157">
        <v>999</v>
      </c>
      <c r="E157">
        <v>915</v>
      </c>
      <c r="F157" t="s">
        <v>42</v>
      </c>
      <c r="G157" t="str">
        <f t="shared" si="12"/>
        <v>星期五</v>
      </c>
      <c r="H157" t="str">
        <f t="shared" si="11"/>
        <v>工作日</v>
      </c>
    </row>
    <row r="158" spans="1:8" x14ac:dyDescent="0.15">
      <c r="A158" s="1">
        <v>46067</v>
      </c>
      <c r="B158" t="s">
        <v>9</v>
      </c>
      <c r="C158" t="s">
        <v>10</v>
      </c>
      <c r="D158">
        <v>1212</v>
      </c>
      <c r="E158">
        <v>1209</v>
      </c>
      <c r="F158" t="s">
        <v>34</v>
      </c>
      <c r="G158" t="str">
        <f t="shared" si="12"/>
        <v>星期六</v>
      </c>
      <c r="H158" t="str">
        <f t="shared" si="11"/>
        <v>周末</v>
      </c>
    </row>
    <row r="159" spans="1:8" x14ac:dyDescent="0.15">
      <c r="A159" s="1">
        <v>46068</v>
      </c>
      <c r="B159" t="s">
        <v>9</v>
      </c>
      <c r="C159" t="s">
        <v>10</v>
      </c>
      <c r="D159">
        <v>1497</v>
      </c>
      <c r="E159">
        <v>1467</v>
      </c>
      <c r="F159" t="s">
        <v>77</v>
      </c>
      <c r="G159" t="str">
        <f t="shared" si="12"/>
        <v>星期日</v>
      </c>
      <c r="H159" t="str">
        <f t="shared" si="11"/>
        <v>周末</v>
      </c>
    </row>
    <row r="160" spans="1:8" x14ac:dyDescent="0.15">
      <c r="A160" s="1">
        <v>46069</v>
      </c>
      <c r="B160" t="s">
        <v>9</v>
      </c>
      <c r="C160" t="s">
        <v>10</v>
      </c>
      <c r="F160" t="s">
        <v>39</v>
      </c>
      <c r="G160" t="str">
        <f t="shared" si="12"/>
        <v>星期一</v>
      </c>
      <c r="H160" t="str">
        <f t="shared" si="11"/>
        <v>工作日</v>
      </c>
    </row>
    <row r="161" spans="1:8" x14ac:dyDescent="0.15">
      <c r="A161" s="1">
        <v>46070</v>
      </c>
      <c r="B161" t="s">
        <v>9</v>
      </c>
      <c r="C161" t="s">
        <v>10</v>
      </c>
      <c r="F161" t="s">
        <v>72</v>
      </c>
      <c r="G161" t="str">
        <f t="shared" si="12"/>
        <v>星期二</v>
      </c>
      <c r="H161" t="str">
        <f t="shared" si="11"/>
        <v>工作日</v>
      </c>
    </row>
    <row r="162" spans="1:8" x14ac:dyDescent="0.15">
      <c r="A162" s="1">
        <v>46071</v>
      </c>
      <c r="B162" t="s">
        <v>9</v>
      </c>
      <c r="C162" t="s">
        <v>10</v>
      </c>
      <c r="D162">
        <v>3681</v>
      </c>
      <c r="E162">
        <v>4574</v>
      </c>
      <c r="F162" t="s">
        <v>74</v>
      </c>
      <c r="G162" t="str">
        <f t="shared" si="12"/>
        <v>星期三</v>
      </c>
      <c r="H162" t="str">
        <f t="shared" si="11"/>
        <v>工作日</v>
      </c>
    </row>
    <row r="163" spans="1:8" x14ac:dyDescent="0.15">
      <c r="A163" s="1">
        <v>46072</v>
      </c>
      <c r="B163" t="s">
        <v>9</v>
      </c>
      <c r="C163" t="s">
        <v>10</v>
      </c>
      <c r="D163">
        <v>5347</v>
      </c>
      <c r="E163">
        <v>6147</v>
      </c>
      <c r="F163" t="s">
        <v>67</v>
      </c>
      <c r="G163" t="str">
        <f t="shared" si="12"/>
        <v>星期四</v>
      </c>
      <c r="H163" t="str">
        <f t="shared" ref="H163:H181" si="13">IF(OR(WEEKDAY(A163)=1,WEEKDAY(A163)=7),"周末","工作日")</f>
        <v>工作日</v>
      </c>
    </row>
    <row r="164" spans="1:8" x14ac:dyDescent="0.15">
      <c r="A164" s="1">
        <v>46073</v>
      </c>
      <c r="B164" t="s">
        <v>9</v>
      </c>
      <c r="C164" t="s">
        <v>10</v>
      </c>
      <c r="D164">
        <v>6691</v>
      </c>
      <c r="E164">
        <v>4744</v>
      </c>
      <c r="F164" t="s">
        <v>34</v>
      </c>
      <c r="G164" t="str">
        <f t="shared" si="12"/>
        <v>星期五</v>
      </c>
      <c r="H164" t="str">
        <f t="shared" si="13"/>
        <v>工作日</v>
      </c>
    </row>
    <row r="165" spans="1:8" x14ac:dyDescent="0.15">
      <c r="A165" s="1">
        <v>46074</v>
      </c>
      <c r="B165" t="s">
        <v>9</v>
      </c>
      <c r="C165" t="s">
        <v>10</v>
      </c>
      <c r="D165">
        <v>5370</v>
      </c>
      <c r="E165">
        <v>3033</v>
      </c>
      <c r="F165" t="s">
        <v>32</v>
      </c>
      <c r="G165" t="str">
        <f t="shared" si="12"/>
        <v>星期六</v>
      </c>
      <c r="H165" t="str">
        <f t="shared" si="13"/>
        <v>周末</v>
      </c>
    </row>
    <row r="166" spans="1:8" x14ac:dyDescent="0.15">
      <c r="A166" s="1">
        <v>46075</v>
      </c>
      <c r="B166" t="s">
        <v>9</v>
      </c>
      <c r="C166" t="s">
        <v>10</v>
      </c>
      <c r="F166" t="s">
        <v>78</v>
      </c>
      <c r="G166" t="str">
        <f t="shared" si="12"/>
        <v>星期日</v>
      </c>
      <c r="H166" t="str">
        <f t="shared" si="13"/>
        <v>周末</v>
      </c>
    </row>
    <row r="167" spans="1:8" x14ac:dyDescent="0.15">
      <c r="A167" s="1">
        <v>46076</v>
      </c>
      <c r="B167" t="s">
        <v>9</v>
      </c>
      <c r="C167" t="s">
        <v>10</v>
      </c>
      <c r="F167" t="s">
        <v>78</v>
      </c>
      <c r="G167" t="str">
        <f t="shared" si="12"/>
        <v>星期一</v>
      </c>
      <c r="H167" t="str">
        <f t="shared" si="13"/>
        <v>工作日</v>
      </c>
    </row>
    <row r="168" spans="1:8" x14ac:dyDescent="0.15">
      <c r="A168" s="1">
        <v>46077</v>
      </c>
      <c r="B168" t="s">
        <v>9</v>
      </c>
      <c r="C168" t="s">
        <v>10</v>
      </c>
      <c r="F168" t="s">
        <v>34</v>
      </c>
      <c r="G168" t="str">
        <f t="shared" si="12"/>
        <v>星期二</v>
      </c>
      <c r="H168" t="str">
        <f t="shared" si="13"/>
        <v>工作日</v>
      </c>
    </row>
    <row r="169" spans="1:8" x14ac:dyDescent="0.15">
      <c r="A169" s="1">
        <v>46078</v>
      </c>
      <c r="B169" t="s">
        <v>9</v>
      </c>
      <c r="C169" t="s">
        <v>10</v>
      </c>
      <c r="D169">
        <v>1267</v>
      </c>
      <c r="E169">
        <v>841</v>
      </c>
      <c r="F169" t="s">
        <v>31</v>
      </c>
      <c r="G169" t="str">
        <f t="shared" si="12"/>
        <v>星期三</v>
      </c>
      <c r="H169" t="str">
        <f t="shared" si="13"/>
        <v>工作日</v>
      </c>
    </row>
    <row r="170" spans="1:8" x14ac:dyDescent="0.15">
      <c r="A170" s="1">
        <v>46079</v>
      </c>
      <c r="B170" t="s">
        <v>9</v>
      </c>
      <c r="C170" t="s">
        <v>10</v>
      </c>
      <c r="D170">
        <v>1041</v>
      </c>
      <c r="E170">
        <v>771</v>
      </c>
      <c r="F170" t="s">
        <v>24</v>
      </c>
      <c r="G170" t="str">
        <f t="shared" si="12"/>
        <v>星期四</v>
      </c>
      <c r="H170" t="str">
        <f t="shared" si="13"/>
        <v>工作日</v>
      </c>
    </row>
    <row r="171" spans="1:8" x14ac:dyDescent="0.15">
      <c r="A171" s="1">
        <v>46080</v>
      </c>
      <c r="B171" t="s">
        <v>9</v>
      </c>
      <c r="C171" t="s">
        <v>10</v>
      </c>
      <c r="D171">
        <v>935</v>
      </c>
      <c r="E171">
        <v>614</v>
      </c>
      <c r="F171" t="s">
        <v>79</v>
      </c>
      <c r="G171" t="str">
        <f t="shared" si="12"/>
        <v>星期五</v>
      </c>
      <c r="H171" t="str">
        <f t="shared" si="13"/>
        <v>工作日</v>
      </c>
    </row>
    <row r="172" spans="1:8" x14ac:dyDescent="0.15">
      <c r="A172" s="1">
        <v>46081</v>
      </c>
      <c r="B172" t="s">
        <v>9</v>
      </c>
      <c r="C172" t="s">
        <v>10</v>
      </c>
      <c r="D172">
        <v>753</v>
      </c>
      <c r="E172">
        <v>414</v>
      </c>
      <c r="F172" t="s">
        <v>80</v>
      </c>
      <c r="G172" t="str">
        <f t="shared" si="12"/>
        <v>星期六</v>
      </c>
      <c r="H172" t="str">
        <f t="shared" si="13"/>
        <v>周末</v>
      </c>
    </row>
    <row r="173" spans="1:8" x14ac:dyDescent="0.15">
      <c r="A173" s="1">
        <v>46082</v>
      </c>
      <c r="B173" t="s">
        <v>9</v>
      </c>
      <c r="C173" t="s">
        <v>10</v>
      </c>
      <c r="D173">
        <v>582</v>
      </c>
      <c r="E173">
        <v>316</v>
      </c>
      <c r="F173" t="s">
        <v>81</v>
      </c>
      <c r="G173" t="str">
        <f t="shared" si="12"/>
        <v>星期日</v>
      </c>
      <c r="H173" t="str">
        <f t="shared" si="13"/>
        <v>周末</v>
      </c>
    </row>
    <row r="174" spans="1:8" x14ac:dyDescent="0.15">
      <c r="A174" s="1">
        <v>46083</v>
      </c>
      <c r="B174" t="s">
        <v>9</v>
      </c>
      <c r="C174" t="s">
        <v>10</v>
      </c>
      <c r="D174">
        <v>373</v>
      </c>
      <c r="E174">
        <v>567</v>
      </c>
      <c r="F174" t="s">
        <v>35</v>
      </c>
      <c r="G174" t="str">
        <f t="shared" si="12"/>
        <v>星期一</v>
      </c>
      <c r="H174" t="str">
        <f t="shared" si="13"/>
        <v>工作日</v>
      </c>
    </row>
    <row r="175" spans="1:8" x14ac:dyDescent="0.15">
      <c r="A175" s="1">
        <v>46084</v>
      </c>
      <c r="B175" t="s">
        <v>9</v>
      </c>
      <c r="C175" t="s">
        <v>10</v>
      </c>
      <c r="D175">
        <v>595</v>
      </c>
      <c r="E175">
        <v>580</v>
      </c>
      <c r="F175" t="s">
        <v>35</v>
      </c>
      <c r="G175" t="str">
        <f t="shared" si="12"/>
        <v>星期二</v>
      </c>
      <c r="H175" t="str">
        <f t="shared" si="13"/>
        <v>工作日</v>
      </c>
    </row>
    <row r="176" spans="1:8" x14ac:dyDescent="0.15">
      <c r="A176" s="1">
        <v>46085</v>
      </c>
      <c r="B176" t="s">
        <v>9</v>
      </c>
      <c r="C176" t="s">
        <v>10</v>
      </c>
      <c r="D176">
        <v>786</v>
      </c>
      <c r="E176">
        <v>821</v>
      </c>
      <c r="F176" t="s">
        <v>34</v>
      </c>
      <c r="G176" t="str">
        <f t="shared" si="12"/>
        <v>星期三</v>
      </c>
      <c r="H176" t="str">
        <f t="shared" si="13"/>
        <v>工作日</v>
      </c>
    </row>
    <row r="177" spans="1:8" x14ac:dyDescent="0.15">
      <c r="A177" s="1">
        <v>46086</v>
      </c>
      <c r="B177" t="s">
        <v>9</v>
      </c>
      <c r="C177" t="s">
        <v>10</v>
      </c>
      <c r="D177">
        <v>1193</v>
      </c>
      <c r="E177">
        <v>912</v>
      </c>
      <c r="F177" t="s">
        <v>44</v>
      </c>
      <c r="G177" t="str">
        <f t="shared" si="12"/>
        <v>星期四</v>
      </c>
      <c r="H177" t="str">
        <f t="shared" si="13"/>
        <v>工作日</v>
      </c>
    </row>
    <row r="178" spans="1:8" x14ac:dyDescent="0.15">
      <c r="A178" s="1">
        <v>46087</v>
      </c>
      <c r="B178" t="s">
        <v>9</v>
      </c>
      <c r="C178" t="s">
        <v>10</v>
      </c>
      <c r="F178" t="s">
        <v>60</v>
      </c>
      <c r="G178" t="str">
        <f t="shared" si="12"/>
        <v>星期五</v>
      </c>
      <c r="H178" t="str">
        <f t="shared" si="13"/>
        <v>工作日</v>
      </c>
    </row>
    <row r="179" spans="1:8" x14ac:dyDescent="0.15">
      <c r="A179" s="1">
        <v>46088</v>
      </c>
      <c r="B179" t="s">
        <v>9</v>
      </c>
      <c r="C179" t="s">
        <v>10</v>
      </c>
      <c r="F179" t="s">
        <v>54</v>
      </c>
      <c r="G179" t="str">
        <f t="shared" si="12"/>
        <v>星期六</v>
      </c>
      <c r="H179" t="str">
        <f t="shared" si="13"/>
        <v>周末</v>
      </c>
    </row>
    <row r="180" spans="1:8" x14ac:dyDescent="0.15">
      <c r="A180" s="1">
        <v>46089</v>
      </c>
      <c r="B180" t="s">
        <v>9</v>
      </c>
      <c r="C180" t="s">
        <v>10</v>
      </c>
      <c r="F180" t="s">
        <v>41</v>
      </c>
      <c r="G180" t="str">
        <f t="shared" si="12"/>
        <v>星期日</v>
      </c>
      <c r="H180" t="str">
        <f t="shared" si="13"/>
        <v>周末</v>
      </c>
    </row>
    <row r="181" spans="1:8" x14ac:dyDescent="0.15">
      <c r="A181" s="1">
        <v>46090</v>
      </c>
      <c r="B181" t="s">
        <v>9</v>
      </c>
      <c r="C181" t="s">
        <v>10</v>
      </c>
      <c r="F181" t="s">
        <v>55</v>
      </c>
      <c r="G181" t="str">
        <f t="shared" si="12"/>
        <v>星期一</v>
      </c>
      <c r="H181" t="str">
        <f t="shared" si="13"/>
        <v>工作日</v>
      </c>
    </row>
    <row r="182" spans="1:8" x14ac:dyDescent="0.15">
      <c r="F182" t="s">
        <v>49</v>
      </c>
    </row>
    <row r="183" spans="1:8" x14ac:dyDescent="0.15">
      <c r="F183" t="s">
        <v>35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亚瑟平井</dc:creator>
  <cp:lastModifiedBy>Hao Zhou</cp:lastModifiedBy>
  <dcterms:created xsi:type="dcterms:W3CDTF">2025-09-19T15:05:00Z</dcterms:created>
  <dcterms:modified xsi:type="dcterms:W3CDTF">2026-03-08T02:50:17Z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B96C6888E96F4DD282B30E6FFCA6F8BC_11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